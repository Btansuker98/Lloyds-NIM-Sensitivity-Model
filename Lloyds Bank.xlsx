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sf-my.sharepoint.com/personal/u10114272_basfad_basf_net/Documents/Desktop/Project - Lloyds Bank Net Interest Margin Sensitivity Model (Interest rate scenarios)/"/>
    </mc:Choice>
  </mc:AlternateContent>
  <xr:revisionPtr revIDLastSave="967" documentId="8_{FB20E2DF-F383-45AE-9CE1-18C691BD85AD}" xr6:coauthVersionLast="47" xr6:coauthVersionMax="47" xr10:uidLastSave="{49CB2061-7C98-4FDD-95A8-7BAE6AD41546}"/>
  <workbookProtection workbookAlgorithmName="SHA-512" workbookHashValue="AxOK+K9a/rWSzMYKsrbOWaFNaP1ZiDvt4ni/t+AvY269ZDqNVdM3uQrUz5Ks9J4CkWTUNSw4o1p2pHQigqkmOA==" workbookSaltValue="/k2bd0g5d6zXkcRiMPGrKg==" workbookSpinCount="100000" lockStructure="1"/>
  <bookViews>
    <workbookView xWindow="-120" yWindow="-120" windowWidth="29040" windowHeight="15720" activeTab="4" xr2:uid="{4BA61663-9851-4F8C-9D82-E8B27B15996A}"/>
  </bookViews>
  <sheets>
    <sheet name="Introduction" sheetId="8" r:id="rId1"/>
    <sheet name="00_Control" sheetId="2" r:id="rId2"/>
    <sheet name="01_RawData" sheetId="1" r:id="rId3"/>
    <sheet name="02_Scenarios" sheetId="4" r:id="rId4"/>
    <sheet name="03_Summary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7" l="1"/>
  <c r="E11" i="7" s="1"/>
  <c r="D10" i="7"/>
  <c r="E10" i="7" s="1"/>
  <c r="D9" i="7"/>
  <c r="E9" i="7" s="1"/>
  <c r="D8" i="7"/>
  <c r="D7" i="7"/>
  <c r="D6" i="7"/>
  <c r="E6" i="7" s="1"/>
  <c r="D5" i="7"/>
  <c r="E5" i="7" s="1"/>
  <c r="D4" i="7"/>
  <c r="E4" i="7" s="1"/>
  <c r="D3" i="7"/>
  <c r="G3" i="7" s="1"/>
  <c r="H3" i="7" s="1"/>
  <c r="D2" i="7"/>
  <c r="G2" i="7" s="1"/>
  <c r="H2" i="7" s="1"/>
  <c r="B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C2" i="7"/>
  <c r="B19" i="4"/>
  <c r="B18" i="4"/>
  <c r="B17" i="4"/>
  <c r="B16" i="4"/>
  <c r="B15" i="4"/>
  <c r="B14" i="4"/>
  <c r="B3" i="4"/>
  <c r="B4" i="4" s="1"/>
  <c r="B6" i="4" s="1" a="1"/>
  <c r="B6" i="4" s="1"/>
  <c r="C12" i="2"/>
  <c r="B12" i="4" s="1"/>
  <c r="K28" i="1"/>
  <c r="J28" i="1"/>
  <c r="I28" i="1"/>
  <c r="H28" i="1"/>
  <c r="G28" i="1"/>
  <c r="F28" i="1"/>
  <c r="E28" i="1"/>
  <c r="D28" i="1"/>
  <c r="C28" i="1"/>
  <c r="B28" i="1"/>
  <c r="K27" i="1"/>
  <c r="J27" i="1"/>
  <c r="I27" i="1"/>
  <c r="H27" i="1"/>
  <c r="G27" i="1"/>
  <c r="F27" i="1"/>
  <c r="E27" i="1"/>
  <c r="D27" i="1"/>
  <c r="C27" i="1"/>
  <c r="B27" i="1"/>
  <c r="K25" i="1"/>
  <c r="J25" i="1"/>
  <c r="I25" i="1"/>
  <c r="H25" i="1"/>
  <c r="G25" i="1"/>
  <c r="F25" i="1"/>
  <c r="E25" i="1"/>
  <c r="D25" i="1"/>
  <c r="C25" i="1"/>
  <c r="K24" i="1"/>
  <c r="J24" i="1"/>
  <c r="I24" i="1"/>
  <c r="H24" i="1"/>
  <c r="G24" i="1"/>
  <c r="F24" i="1"/>
  <c r="E24" i="1"/>
  <c r="D24" i="1"/>
  <c r="C24" i="1"/>
  <c r="B25" i="1"/>
  <c r="B24" i="1"/>
  <c r="J23" i="1"/>
  <c r="I23" i="1"/>
  <c r="H23" i="1"/>
  <c r="G23" i="1"/>
  <c r="F23" i="1"/>
  <c r="E23" i="1"/>
  <c r="D23" i="1"/>
  <c r="C23" i="1"/>
  <c r="B23" i="1"/>
  <c r="K16" i="1"/>
  <c r="J16" i="1"/>
  <c r="I16" i="1"/>
  <c r="H16" i="1"/>
  <c r="G16" i="1"/>
  <c r="F16" i="1"/>
  <c r="E16" i="1"/>
  <c r="D16" i="1"/>
  <c r="C16" i="1"/>
  <c r="B16" i="1"/>
  <c r="C21" i="1"/>
  <c r="B21" i="1"/>
  <c r="K14" i="1"/>
  <c r="K21" i="1" s="1"/>
  <c r="J14" i="1"/>
  <c r="J21" i="1" s="1"/>
  <c r="I14" i="1"/>
  <c r="I21" i="1" s="1"/>
  <c r="H14" i="1"/>
  <c r="H21" i="1" s="1"/>
  <c r="G14" i="1"/>
  <c r="G21" i="1" s="1"/>
  <c r="F14" i="1"/>
  <c r="F21" i="1" s="1"/>
  <c r="E14" i="1"/>
  <c r="E21" i="1" s="1"/>
  <c r="D14" i="1"/>
  <c r="D21" i="1" s="1"/>
  <c r="C14" i="1"/>
  <c r="B14" i="1"/>
  <c r="K11" i="1"/>
  <c r="J11" i="1"/>
  <c r="I11" i="1"/>
  <c r="H11" i="1"/>
  <c r="G11" i="1"/>
  <c r="F11" i="1"/>
  <c r="E11" i="1"/>
  <c r="D11" i="1"/>
  <c r="C11" i="1"/>
  <c r="B11" i="1"/>
  <c r="K8" i="1"/>
  <c r="K22" i="1" s="1"/>
  <c r="J8" i="1"/>
  <c r="J22" i="1" s="1"/>
  <c r="I8" i="1"/>
  <c r="I22" i="1" s="1"/>
  <c r="H8" i="1"/>
  <c r="H22" i="1" s="1"/>
  <c r="G8" i="1"/>
  <c r="G22" i="1" s="1"/>
  <c r="F8" i="1"/>
  <c r="F22" i="1" s="1"/>
  <c r="E8" i="1"/>
  <c r="E22" i="1" s="1"/>
  <c r="D8" i="1"/>
  <c r="D22" i="1" s="1"/>
  <c r="C8" i="1"/>
  <c r="C22" i="1" s="1"/>
  <c r="B8" i="1"/>
  <c r="B22" i="1" s="1"/>
  <c r="K19" i="1"/>
  <c r="J19" i="1"/>
  <c r="I19" i="1"/>
  <c r="H19" i="1"/>
  <c r="G19" i="1"/>
  <c r="F19" i="1"/>
  <c r="E19" i="1"/>
  <c r="D19" i="1"/>
  <c r="C19" i="1"/>
  <c r="B19" i="1"/>
  <c r="C3" i="2"/>
  <c r="F7" i="7" l="1"/>
  <c r="I7" i="7" s="1"/>
  <c r="F8" i="7"/>
  <c r="I8" i="7" s="1"/>
  <c r="J10" i="7"/>
  <c r="K10" i="7" s="1"/>
  <c r="J11" i="7"/>
  <c r="K11" i="7" s="1"/>
  <c r="J2" i="7"/>
  <c r="K2" i="7" s="1"/>
  <c r="J3" i="7"/>
  <c r="K3" i="7" s="1"/>
  <c r="J4" i="7"/>
  <c r="K4" i="7" s="1"/>
  <c r="J5" i="7"/>
  <c r="K5" i="7" s="1"/>
  <c r="J6" i="7"/>
  <c r="K6" i="7" s="1"/>
  <c r="J7" i="7"/>
  <c r="K7" i="7" s="1"/>
  <c r="J8" i="7"/>
  <c r="K8" i="7" s="1"/>
  <c r="J9" i="7"/>
  <c r="K9" i="7" s="1"/>
  <c r="E2" i="7"/>
  <c r="E3" i="7"/>
  <c r="F2" i="7"/>
  <c r="F3" i="7"/>
  <c r="G10" i="7"/>
  <c r="H10" i="7" s="1"/>
  <c r="G11" i="7"/>
  <c r="H11" i="7" s="1"/>
  <c r="F9" i="7"/>
  <c r="F10" i="7"/>
  <c r="F11" i="7"/>
  <c r="E7" i="7"/>
  <c r="G9" i="7"/>
  <c r="H9" i="7" s="1"/>
  <c r="E8" i="7"/>
  <c r="G4" i="7"/>
  <c r="H4" i="7" s="1"/>
  <c r="G5" i="7"/>
  <c r="H5" i="7" s="1"/>
  <c r="F4" i="7"/>
  <c r="G6" i="7"/>
  <c r="H6" i="7" s="1"/>
  <c r="F5" i="7"/>
  <c r="G7" i="7"/>
  <c r="H7" i="7" s="1"/>
  <c r="F6" i="7"/>
  <c r="G8" i="7"/>
  <c r="H8" i="7" s="1"/>
  <c r="B10" i="4" a="1"/>
  <c r="B10" i="4" s="1"/>
  <c r="B7" i="4" a="1"/>
  <c r="B7" i="4" s="1"/>
  <c r="B8" i="4" a="1"/>
  <c r="B8" i="4" s="1"/>
  <c r="B9" i="4" a="1"/>
  <c r="B9" i="4" s="1"/>
  <c r="B11" i="4" a="1"/>
  <c r="B11" i="4" s="1"/>
  <c r="K23" i="1"/>
  <c r="C4" i="2"/>
  <c r="B2" i="4" s="1"/>
  <c r="L8" i="7" l="1"/>
  <c r="L7" i="7"/>
  <c r="I11" i="7"/>
  <c r="L11" i="7"/>
  <c r="I10" i="7"/>
  <c r="L10" i="7"/>
  <c r="I6" i="7"/>
  <c r="L6" i="7"/>
  <c r="I9" i="7"/>
  <c r="L9" i="7"/>
  <c r="I5" i="7"/>
  <c r="L5" i="7"/>
  <c r="I3" i="7"/>
  <c r="L3" i="7"/>
  <c r="I4" i="7"/>
  <c r="L4" i="7"/>
  <c r="I2" i="7"/>
  <c r="L2" i="7"/>
  <c r="B22" i="4"/>
  <c r="B21" i="4"/>
  <c r="B23" i="4"/>
  <c r="B24" i="4" l="1"/>
  <c r="B29" i="4" l="1"/>
  <c r="B26" i="4"/>
  <c r="B27" i="4" s="1"/>
  <c r="B28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<sst xmlns="http://schemas.openxmlformats.org/spreadsheetml/2006/main" count="151" uniqueCount="116">
  <si>
    <t>Line Item</t>
  </si>
  <si>
    <t>Source Note</t>
  </si>
  <si>
    <t>Net Interest Income</t>
  </si>
  <si>
    <t>Interest Income</t>
  </si>
  <si>
    <t>Interest Expense</t>
  </si>
  <si>
    <t>Loans - End Balance</t>
  </si>
  <si>
    <t>Loans - Beginning Balance</t>
  </si>
  <si>
    <t>Loans - Average</t>
  </si>
  <si>
    <t>Customer Deposits - End</t>
  </si>
  <si>
    <t>Customer Deposits - Beginning</t>
  </si>
  <si>
    <t>Customer Deposits - Average</t>
  </si>
  <si>
    <t>Wholesale Funding - End</t>
  </si>
  <si>
    <t>Wholesale Funding - Beginning</t>
  </si>
  <si>
    <t>Wholesale Funding - Average</t>
  </si>
  <si>
    <t>Average Interest-Earning Assets (AIEA)</t>
  </si>
  <si>
    <t>Effective Tax Rate</t>
  </si>
  <si>
    <t>Category</t>
  </si>
  <si>
    <t>Parameter</t>
  </si>
  <si>
    <t>Value</t>
  </si>
  <si>
    <t>Comment</t>
  </si>
  <si>
    <t>Scenario</t>
  </si>
  <si>
    <t>Assets_Betas</t>
  </si>
  <si>
    <t>Liabilitiy_Betas</t>
  </si>
  <si>
    <t>Repricing_12M</t>
  </si>
  <si>
    <t>Scenario Selector</t>
  </si>
  <si>
    <t>Shock (bps)</t>
  </si>
  <si>
    <t>Base / Up100 / Down100</t>
  </si>
  <si>
    <t>Auto-calculated</t>
  </si>
  <si>
    <t>Convert bps to %</t>
  </si>
  <si>
    <t>% pass-through</t>
  </si>
  <si>
    <t>Sticky deposits</t>
  </si>
  <si>
    <t>Market-linked</t>
  </si>
  <si>
    <t>% reprices within 1y</t>
  </si>
  <si>
    <t xml:space="preserve">Shock </t>
  </si>
  <si>
    <t>Loan_Beta</t>
  </si>
  <si>
    <t>Deposit_Beta</t>
  </si>
  <si>
    <t>Loans_Repricing</t>
  </si>
  <si>
    <t>Deposits_Repricing</t>
  </si>
  <si>
    <t>Funding_Repricing</t>
  </si>
  <si>
    <t>Wholesale_Funding_Beta</t>
  </si>
  <si>
    <t>RawData-linked</t>
  </si>
  <si>
    <t xml:space="preserve">P&amp;L </t>
  </si>
  <si>
    <t>Tax Rate</t>
  </si>
  <si>
    <t>Profit Before Tax</t>
  </si>
  <si>
    <t>Tax Expense</t>
  </si>
  <si>
    <t>Underlying Net Interest Income</t>
  </si>
  <si>
    <t>Loan Yield Check</t>
  </si>
  <si>
    <t>Calculated from Annual Reports Data</t>
  </si>
  <si>
    <t>Wholesale Funding Cost</t>
  </si>
  <si>
    <t>Total Cost of Funding</t>
  </si>
  <si>
    <t>Stabilized Tax Rate - Historical Average</t>
  </si>
  <si>
    <t>Average of 10 years</t>
  </si>
  <si>
    <t>Total Interest-Bearing Funding - Average</t>
  </si>
  <si>
    <t>Reported Banking NIM</t>
  </si>
  <si>
    <t>Implied Banking NII</t>
  </si>
  <si>
    <t>NII Recon / Adjustment</t>
  </si>
  <si>
    <t>Annual Report - Direct</t>
  </si>
  <si>
    <t xml:space="preserve">Metric </t>
  </si>
  <si>
    <t>Selected Shock (%)</t>
  </si>
  <si>
    <t>--- BASE INPUTS ---</t>
  </si>
  <si>
    <t>Loans Avg</t>
  </si>
  <si>
    <t>Deposits Avg</t>
  </si>
  <si>
    <t>Funding Avg</t>
  </si>
  <si>
    <t>AIEA</t>
  </si>
  <si>
    <t>--- PARAMETERS ---</t>
  </si>
  <si>
    <t>Loan Beta</t>
  </si>
  <si>
    <t>Deposit Beta</t>
  </si>
  <si>
    <t>Funding Beta</t>
  </si>
  <si>
    <t>Loans Repricing</t>
  </si>
  <si>
    <t>Deposits Repricing</t>
  </si>
  <si>
    <t>Funding Repricing</t>
  </si>
  <si>
    <t>--- SHOCK CALCULATION ---</t>
  </si>
  <si>
    <t>Delta Loan Income</t>
  </si>
  <si>
    <t>Delta Deposit Expense</t>
  </si>
  <si>
    <t>Delta Funding Expense</t>
  </si>
  <si>
    <t>Delta NII</t>
  </si>
  <si>
    <t>--- OUTPUTS ---</t>
  </si>
  <si>
    <t>New NII</t>
  </si>
  <si>
    <t>New NIM</t>
  </si>
  <si>
    <t>Delta NIM (bps)</t>
  </si>
  <si>
    <t>Delta Net Income</t>
  </si>
  <si>
    <t>Base NII (Model)</t>
  </si>
  <si>
    <t xml:space="preserve">Underlying NIM </t>
  </si>
  <si>
    <t xml:space="preserve">Statutory NIM </t>
  </si>
  <si>
    <t>Base NIM (Model)</t>
  </si>
  <si>
    <t>Selected Year</t>
  </si>
  <si>
    <t>2016 to 2025</t>
  </si>
  <si>
    <t>Year_Col</t>
  </si>
  <si>
    <t>Year</t>
  </si>
  <si>
    <t>Base NIM</t>
  </si>
  <si>
    <t>Base NII</t>
  </si>
  <si>
    <t>ΔNII (+100bps)</t>
  </si>
  <si>
    <t>ΔNIM (+100bps, bps)</t>
  </si>
  <si>
    <t>ΔNI (+100bps)</t>
  </si>
  <si>
    <t>ΔNII (-100bps)</t>
  </si>
  <si>
    <t>ΔNIM (-100bps, bps)</t>
  </si>
  <si>
    <t>ΔNI (-100bps)</t>
  </si>
  <si>
    <t>Hedge Factor</t>
  </si>
  <si>
    <t>Hedge_Adjustment</t>
  </si>
  <si>
    <t>Assumption</t>
  </si>
  <si>
    <t>Adj ΔNII</t>
  </si>
  <si>
    <t>Adj ΔNIM</t>
  </si>
  <si>
    <t>Introduction &amp; Information</t>
  </si>
  <si>
    <t>MODEL AND FINANCIAL DATA DO NOT CONTAIN ANY SENSITIVE DATA &amp; FINANCIAL ADVICE</t>
  </si>
  <si>
    <t xml:space="preserve">Please do not publish the model anywhere. But if you are interested in using or developing the model for your personal development &amp; curiosity, feel free </t>
  </si>
  <si>
    <t xml:space="preserve">If you`d like to discuss the model or have any questions about assumptions &amp; formulas, please contact me </t>
  </si>
  <si>
    <t>Enjoy Exploring!</t>
  </si>
  <si>
    <t>Best Regards,</t>
  </si>
  <si>
    <t>Berk Tansuker</t>
  </si>
  <si>
    <t xml:space="preserve">Github </t>
  </si>
  <si>
    <t>LinkedIn</t>
  </si>
  <si>
    <t>E-Mail</t>
  </si>
  <si>
    <t>All previous financial data were taked from Lloyds Bank Annual Reports - All publicly available</t>
  </si>
  <si>
    <t>Purpose of creating this model is purely for personal development &amp; practice &amp; curiosity - All adjusted numbers and assumptions are based on personal opinion</t>
  </si>
  <si>
    <t>Adj ΔNI</t>
  </si>
  <si>
    <t>Up100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</si>
</sst>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0.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sz val="50"/>
      <color theme="0"/>
      <name val="Arial"/>
      <family val="2"/>
    </font>
    <font>
      <b/>
      <sz val="15"/>
      <color theme="1"/>
      <name val="Arial"/>
      <family val="2"/>
    </font>
    <font>
      <b/>
      <sz val="15"/>
      <color theme="0"/>
      <name val="Arial"/>
      <family val="2"/>
    </font>
    <font>
      <sz val="15"/>
      <color theme="1"/>
      <name val="Arial"/>
      <family val="2"/>
    </font>
    <font>
      <b/>
      <u/>
      <sz val="15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3" fillId="2" borderId="0" xfId="0" applyFont="1" applyFill="1"/>
    <xf numFmtId="0" fontId="2" fillId="3" borderId="0" xfId="0" applyFont="1" applyFill="1"/>
    <xf numFmtId="9" fontId="0" fillId="2" borderId="0" xfId="1" applyFont="1" applyFill="1"/>
    <xf numFmtId="164" fontId="3" fillId="2" borderId="0" xfId="0" applyNumberFormat="1" applyFont="1" applyFill="1"/>
    <xf numFmtId="9" fontId="3" fillId="2" borderId="0" xfId="0" applyNumberFormat="1" applyFont="1" applyFill="1"/>
    <xf numFmtId="10" fontId="0" fillId="2" borderId="0" xfId="1" applyNumberFormat="1" applyFont="1" applyFill="1"/>
    <xf numFmtId="10" fontId="3" fillId="2" borderId="0" xfId="1" applyNumberFormat="1" applyFont="1" applyFill="1"/>
    <xf numFmtId="9" fontId="0" fillId="2" borderId="0" xfId="0" applyNumberFormat="1" applyFill="1"/>
    <xf numFmtId="0" fontId="0" fillId="2" borderId="0" xfId="1" applyNumberFormat="1" applyFont="1" applyFill="1"/>
    <xf numFmtId="165" fontId="0" fillId="2" borderId="0" xfId="1" applyNumberFormat="1" applyFont="1" applyFill="1"/>
    <xf numFmtId="2" fontId="0" fillId="2" borderId="0" xfId="0" applyNumberFormat="1" applyFill="1"/>
    <xf numFmtId="165" fontId="0" fillId="2" borderId="0" xfId="0" applyNumberFormat="1" applyFill="1"/>
    <xf numFmtId="0" fontId="5" fillId="3" borderId="0" xfId="0" applyFont="1" applyFill="1"/>
    <xf numFmtId="0" fontId="6" fillId="2" borderId="0" xfId="0" applyFont="1" applyFill="1"/>
    <xf numFmtId="0" fontId="7" fillId="3" borderId="0" xfId="0" applyFont="1" applyFill="1"/>
    <xf numFmtId="0" fontId="8" fillId="2" borderId="0" xfId="0" applyFont="1" applyFill="1"/>
    <xf numFmtId="0" fontId="9" fillId="2" borderId="0" xfId="2" applyFont="1" applyFill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Adj </a:t>
            </a:r>
            <a:r>
              <a:rPr lang="el-GR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Δ</a:t>
            </a:r>
            <a:r>
              <a:rPr lang="en-US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NIM</a:t>
            </a:r>
          </a:p>
        </c:rich>
      </c:tx>
      <c:overlay val="0"/>
      <c:spPr>
        <a:solidFill>
          <a:srgbClr val="00206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04201085293782"/>
          <c:y val="0.15790098405927647"/>
          <c:w val="0.83296480577964571"/>
          <c:h val="0.56863173014583968"/>
        </c:manualLayout>
      </c:layout>
      <c:lineChart>
        <c:grouping val="standard"/>
        <c:varyColors val="0"/>
        <c:ser>
          <c:idx val="9"/>
          <c:order val="0"/>
          <c:tx>
            <c:strRef>
              <c:f>'03_Summary'!$K$1</c:f>
              <c:strCache>
                <c:ptCount val="1"/>
                <c:pt idx="0">
                  <c:v>Adj ΔNIM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'03_Summary'!$A$2:$A$11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'03_Summary'!$K$2:$K$11</c:f>
              <c:numCache>
                <c:formatCode>0.00</c:formatCode>
                <c:ptCount val="10"/>
                <c:pt idx="0">
                  <c:v>8.4395642201834846</c:v>
                </c:pt>
                <c:pt idx="1">
                  <c:v>9.4596551724137932</c:v>
                </c:pt>
                <c:pt idx="2">
                  <c:v>8.6091743119266049</c:v>
                </c:pt>
                <c:pt idx="3">
                  <c:v>7.0055172413793079</c:v>
                </c:pt>
                <c:pt idx="4">
                  <c:v>7.1259999999999994</c:v>
                </c:pt>
                <c:pt idx="5">
                  <c:v>8.0844269662921331</c:v>
                </c:pt>
                <c:pt idx="6">
                  <c:v>8.5865376106194695</c:v>
                </c:pt>
                <c:pt idx="7">
                  <c:v>8.2895764394440743</c:v>
                </c:pt>
                <c:pt idx="8">
                  <c:v>8.7495013297872308</c:v>
                </c:pt>
                <c:pt idx="9">
                  <c:v>9.1847051198963054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93-4FB6-8F18-FEE5B843F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51743"/>
        <c:axId val="48152703"/>
      </c:lineChart>
      <c:catAx>
        <c:axId val="4815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44704979362242292"/>
              <c:y val="0.83002195896835673"/>
            </c:manualLayout>
          </c:layout>
          <c:overlay val="0"/>
          <c:spPr>
            <a:solidFill>
              <a:srgbClr val="00206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152703"/>
        <c:crosses val="autoZero"/>
        <c:auto val="1"/>
        <c:lblAlgn val="ctr"/>
        <c:lblOffset val="100"/>
        <c:noMultiLvlLbl val="0"/>
      </c:catAx>
      <c:valAx>
        <c:axId val="481527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l-GR" b="1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Δ</a:t>
                </a:r>
                <a:r>
                  <a:rPr lang="en-US" b="1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NIM</a:t>
                </a:r>
                <a:endParaRPr lang="en-GB" b="1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solidFill>
              <a:srgbClr val="00206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15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Adj </a:t>
            </a:r>
            <a:r>
              <a:rPr lang="el-GR" sz="1400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Δ</a:t>
            </a:r>
            <a:r>
              <a:rPr lang="en-US" sz="1400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NII</a:t>
            </a:r>
          </a:p>
        </c:rich>
      </c:tx>
      <c:overlay val="0"/>
      <c:spPr>
        <a:solidFill>
          <a:srgbClr val="00206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326465441819773"/>
          <c:y val="0.16712962962962963"/>
          <c:w val="0.78617979002624672"/>
          <c:h val="0.5628444881889763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'03_Summary'!$J$1</c:f>
              <c:strCache>
                <c:ptCount val="1"/>
                <c:pt idx="0">
                  <c:v>Adj ΔNII</c:v>
                </c:pt>
              </c:strCache>
            </c:strRef>
          </c:tx>
          <c:spPr>
            <a:solidFill>
              <a:srgbClr val="002060"/>
            </a:solidFill>
            <a:ln>
              <a:solidFill>
                <a:srgbClr val="002060"/>
              </a:solidFill>
            </a:ln>
            <a:effectLst/>
          </c:spPr>
          <c:invertIfNegative val="0"/>
          <c:cat>
            <c:numRef>
              <c:f>'03_Summary'!$A$2:$A$11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'03_Summary'!$J$2:$J$11</c:f>
              <c:numCache>
                <c:formatCode>"£"#,##0.00</c:formatCode>
                <c:ptCount val="10"/>
                <c:pt idx="0">
                  <c:v>367.96499999999997</c:v>
                </c:pt>
                <c:pt idx="1">
                  <c:v>411.495</c:v>
                </c:pt>
                <c:pt idx="2">
                  <c:v>375.36</c:v>
                </c:pt>
                <c:pt idx="3">
                  <c:v>304.7399999999999</c:v>
                </c:pt>
                <c:pt idx="4">
                  <c:v>309.98099999999999</c:v>
                </c:pt>
                <c:pt idx="5">
                  <c:v>359.75699999999995</c:v>
                </c:pt>
                <c:pt idx="6">
                  <c:v>388.11150000000004</c:v>
                </c:pt>
                <c:pt idx="7">
                  <c:v>375.76649999999989</c:v>
                </c:pt>
                <c:pt idx="8">
                  <c:v>394.77749999999986</c:v>
                </c:pt>
                <c:pt idx="9">
                  <c:v>425.16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7-43FD-B884-BEE8E5C36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9182271"/>
        <c:axId val="1089182751"/>
      </c:barChart>
      <c:catAx>
        <c:axId val="1089182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r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47124343832020998"/>
              <c:y val="0.82710374744823578"/>
            </c:manualLayout>
          </c:layout>
          <c:overlay val="0"/>
          <c:spPr>
            <a:solidFill>
              <a:srgbClr val="00206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r"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9182751"/>
        <c:crosses val="autoZero"/>
        <c:auto val="1"/>
        <c:lblAlgn val="ctr"/>
        <c:lblOffset val="100"/>
        <c:noMultiLvlLbl val="0"/>
      </c:catAx>
      <c:valAx>
        <c:axId val="10891827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Δ</a:t>
                </a:r>
                <a:r>
                  <a:rPr lang="en-US" sz="10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NII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1.9444444444444445E-2"/>
              <c:y val="0.37686205890930297"/>
            </c:manualLayout>
          </c:layout>
          <c:overlay val="0"/>
          <c:spPr>
            <a:solidFill>
              <a:srgbClr val="00206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918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180975</xdr:colOff>
      <xdr:row>1</xdr:row>
      <xdr:rowOff>57150</xdr:rowOff>
    </xdr:from>
    <xdr:to>
      <xdr:col>16</xdr:col>
      <xdr:colOff>324822</xdr:colOff>
      <xdr:row>23</xdr:row>
      <xdr:rowOff>67174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869B0C-32DF-F00A-C1D1-9B7999AC3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9625" y="219075"/>
          <a:ext cx="6963747" cy="35723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16</xdr:row>
      <xdr:rowOff>14287</xdr:rowOff>
    </xdr:from>
    <xdr:to>
      <xdr:col>5</xdr:col>
      <xdr:colOff>828675</xdr:colOff>
      <xdr:row>32</xdr:row>
      <xdr:rowOff>85725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BA103086-489D-9C66-8659-7A6D89279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742950</xdr:colOff>
      <xdr:row>15</xdr:row>
      <xdr:rowOff>80962</xdr:rowOff>
    </xdr:from>
    <xdr:to>
      <xdr:col>12</xdr:col>
      <xdr:colOff>247650</xdr:colOff>
      <xdr:row>32</xdr:row>
      <xdr:rowOff>71437</xdr:rowOff>
    </xdr:to>
    <xdr:graphicFrame macro="">
      <xdr:nvGraphicFramePr>
        <xdr:cNvPr id="3" name="Chart 9">
          <a:extLst>
            <a:ext uri="{FF2B5EF4-FFF2-40B4-BE49-F238E27FC236}">
              <a16:creationId xmlns:a16="http://schemas.microsoft.com/office/drawing/2014/main" id="{D05062C1-4212-2CB1-D2E6-07D81C219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erktansuker1998@gmail.com" TargetMode="External"/><Relationship Id="rId2" Type="http://schemas.openxmlformats.org/officeDocument/2006/relationships/hyperlink" Target="https://www.linkedin.com/in/berk-t-958b23168/" TargetMode="External"/><Relationship Id="rId1" Type="http://schemas.openxmlformats.org/officeDocument/2006/relationships/hyperlink" Target="https://github.com/Btansuker9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2F7F0-4126-474D-A5C1-0A95057EAE09}">
  <sheetPr>
    <tabColor rgb="FF002060"/>
  </sheetPr>
  <dimension ref="A2:D22"/>
  <sheetViews>
    <sheetView workbookViewId="0">
      <selection activeCell="D11" sqref="D11"/>
    </sheetView>
  </sheetViews>
  <sheetFormatPr defaultRowHeight="12.75" x14ac:dyDescent="0.2"/>
  <cols>
    <col min="1" max="3" width="9.140625" style="1"/>
    <col min="4" max="4" width="128.140625" style="1" bestFit="1" customWidth="1"/>
    <col min="5" max="16384" width="9.140625" style="1"/>
  </cols>
  <sheetData>
    <row r="2" spans="1:4" ht="63" x14ac:dyDescent="0.85">
      <c r="D2" s="15" t="s">
        <v>102</v>
      </c>
    </row>
    <row r="5" spans="1:4" ht="19.5" x14ac:dyDescent="0.3">
      <c r="A5" s="16" t="s">
        <v>112</v>
      </c>
    </row>
    <row r="6" spans="1:4" ht="19.5" x14ac:dyDescent="0.3">
      <c r="A6" s="16"/>
    </row>
    <row r="7" spans="1:4" ht="19.5" x14ac:dyDescent="0.3">
      <c r="A7" s="16" t="s">
        <v>113</v>
      </c>
    </row>
    <row r="8" spans="1:4" ht="19.5" x14ac:dyDescent="0.3">
      <c r="A8" s="16"/>
    </row>
    <row r="9" spans="1:4" ht="19.5" x14ac:dyDescent="0.3">
      <c r="A9" s="16" t="s">
        <v>103</v>
      </c>
    </row>
    <row r="10" spans="1:4" ht="19.5" x14ac:dyDescent="0.3">
      <c r="A10" s="16"/>
    </row>
    <row r="11" spans="1:4" ht="19.5" x14ac:dyDescent="0.3">
      <c r="A11" s="16" t="s">
        <v>104</v>
      </c>
    </row>
    <row r="12" spans="1:4" ht="19.5" x14ac:dyDescent="0.3">
      <c r="A12" s="16"/>
    </row>
    <row r="13" spans="1:4" ht="19.5" x14ac:dyDescent="0.3">
      <c r="A13" s="16" t="s">
        <v>105</v>
      </c>
    </row>
    <row r="14" spans="1:4" ht="19.5" x14ac:dyDescent="0.3">
      <c r="A14" s="16"/>
    </row>
    <row r="15" spans="1:4" ht="19.5" x14ac:dyDescent="0.3">
      <c r="A15" s="17" t="s">
        <v>106</v>
      </c>
    </row>
    <row r="16" spans="1:4" ht="18.75" x14ac:dyDescent="0.25">
      <c r="A16" s="18"/>
    </row>
    <row r="17" spans="1:1" ht="19.5" x14ac:dyDescent="0.3">
      <c r="A17" s="16" t="s">
        <v>107</v>
      </c>
    </row>
    <row r="18" spans="1:1" ht="19.5" x14ac:dyDescent="0.3">
      <c r="A18" s="16" t="s">
        <v>108</v>
      </c>
    </row>
    <row r="19" spans="1:1" x14ac:dyDescent="0.2">
      <c r="A19" s="3"/>
    </row>
    <row r="20" spans="1:1" ht="19.5" x14ac:dyDescent="0.3">
      <c r="A20" s="19" t="s">
        <v>109</v>
      </c>
    </row>
    <row r="21" spans="1:1" ht="19.5" x14ac:dyDescent="0.3">
      <c r="A21" s="19" t="s">
        <v>110</v>
      </c>
    </row>
    <row r="22" spans="1:1" ht="19.5" x14ac:dyDescent="0.3">
      <c r="A22" s="19" t="s">
        <v>111</v>
      </c>
    </row>
  </sheetData>
  <sheetProtection algorithmName="SHA-512" hashValue="dMx6OI2uJ03Tl6NyXyGfa6pTPnYB/v0WVMUeu19sLvtrN7Y3iBTzxaH1vqIN25K7lR43IEUFUuh9XTXYtKzHTw==" saltValue="g48Bh8KDK1mXy8nMu7DHGA==" spinCount="100000" sheet="1" objects="1" scenarios="1"/>
  <hyperlinks>
    <hyperlink ref="A20" r:id="rId1" xr:uid="{FE62A14B-3920-48B9-A644-F5E23B54AF4B}"/>
    <hyperlink ref="A21" r:id="rId2" xr:uid="{A694DF27-86EA-4AFB-8283-0A2E13F19C76}"/>
    <hyperlink ref="A22" r:id="rId3" xr:uid="{3D221F13-F8D1-437B-9B40-6F5C782F89A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8CA43-9BCF-48D5-8D47-A4B640E0290A}">
  <sheetPr>
    <tabColor rgb="FF002060"/>
  </sheetPr>
  <dimension ref="A1:D13"/>
  <sheetViews>
    <sheetView workbookViewId="0">
      <selection activeCell="D23" sqref="D23"/>
    </sheetView>
  </sheetViews>
  <sheetFormatPr defaultRowHeight="12.75" x14ac:dyDescent="0.2"/>
  <cols>
    <col min="1" max="1" width="13.7109375" style="1" bestFit="1" customWidth="1"/>
    <col min="2" max="2" width="21.7109375" style="1" bestFit="1" customWidth="1"/>
    <col min="3" max="3" width="9.140625" style="1"/>
    <col min="4" max="4" width="22" style="1" bestFit="1" customWidth="1"/>
    <col min="5" max="5" width="5.140625" style="1" customWidth="1"/>
    <col min="6" max="6" width="5.7109375" style="1" customWidth="1"/>
    <col min="7" max="16384" width="9.140625" style="1"/>
  </cols>
  <sheetData>
    <row r="1" spans="1:4" x14ac:dyDescent="0.2">
      <c r="A1" s="4" t="s">
        <v>16</v>
      </c>
      <c r="B1" s="4" t="s">
        <v>17</v>
      </c>
      <c r="C1" s="4" t="s">
        <v>18</v>
      </c>
      <c r="D1" s="4" t="s">
        <v>19</v>
      </c>
    </row>
    <row r="2" spans="1:4" x14ac:dyDescent="0.2">
      <c r="A2" s="1" t="s">
        <v>20</v>
      </c>
      <c r="B2" s="3" t="s">
        <v>24</v>
      </c>
      <c r="C2" s="3" t="s">
        <v>115</v>
      </c>
      <c r="D2" s="1" t="s">
        <v>26</v>
      </c>
    </row>
    <row r="3" spans="1:4" x14ac:dyDescent="0.2">
      <c r="A3" s="1" t="s">
        <v>20</v>
      </c>
      <c r="B3" s="1" t="s">
        <v>25</v>
      </c>
      <c r="C3" s="1">
        <f>IF(C2="Base",0,IF(C2="Up100",100,IF(C2="Down100",-100,0)))</f>
        <v>100</v>
      </c>
      <c r="D3" s="1" t="s">
        <v>27</v>
      </c>
    </row>
    <row r="4" spans="1:4" x14ac:dyDescent="0.2">
      <c r="A4" s="1" t="s">
        <v>20</v>
      </c>
      <c r="B4" s="1" t="s">
        <v>33</v>
      </c>
      <c r="C4" s="5">
        <f>C3/10000</f>
        <v>0.01</v>
      </c>
      <c r="D4" s="1" t="s">
        <v>28</v>
      </c>
    </row>
    <row r="5" spans="1:4" x14ac:dyDescent="0.2">
      <c r="A5" s="1" t="s">
        <v>20</v>
      </c>
      <c r="B5" s="3" t="s">
        <v>85</v>
      </c>
      <c r="C5" s="3">
        <v>2025</v>
      </c>
      <c r="D5" s="1" t="s">
        <v>86</v>
      </c>
    </row>
    <row r="6" spans="1:4" x14ac:dyDescent="0.2">
      <c r="A6" s="1" t="s">
        <v>21</v>
      </c>
      <c r="B6" s="1" t="s">
        <v>34</v>
      </c>
      <c r="C6" s="1">
        <v>0.8</v>
      </c>
      <c r="D6" s="1" t="s">
        <v>29</v>
      </c>
    </row>
    <row r="7" spans="1:4" x14ac:dyDescent="0.2">
      <c r="A7" s="1" t="s">
        <v>22</v>
      </c>
      <c r="B7" s="1" t="s">
        <v>35</v>
      </c>
      <c r="C7" s="1">
        <v>0.35</v>
      </c>
      <c r="D7" s="1" t="s">
        <v>30</v>
      </c>
    </row>
    <row r="8" spans="1:4" x14ac:dyDescent="0.2">
      <c r="A8" s="1" t="s">
        <v>22</v>
      </c>
      <c r="B8" s="1" t="s">
        <v>39</v>
      </c>
      <c r="C8" s="1">
        <v>0.9</v>
      </c>
      <c r="D8" s="1" t="s">
        <v>31</v>
      </c>
    </row>
    <row r="9" spans="1:4" x14ac:dyDescent="0.2">
      <c r="A9" s="1" t="s">
        <v>23</v>
      </c>
      <c r="B9" s="1" t="s">
        <v>36</v>
      </c>
      <c r="C9" s="1">
        <v>0.6</v>
      </c>
      <c r="D9" s="1" t="s">
        <v>32</v>
      </c>
    </row>
    <row r="10" spans="1:4" x14ac:dyDescent="0.2">
      <c r="A10" s="1" t="s">
        <v>23</v>
      </c>
      <c r="B10" s="1" t="s">
        <v>37</v>
      </c>
      <c r="C10" s="1">
        <v>0.5</v>
      </c>
      <c r="D10" s="1" t="s">
        <v>32</v>
      </c>
    </row>
    <row r="11" spans="1:4" x14ac:dyDescent="0.2">
      <c r="A11" s="1" t="s">
        <v>23</v>
      </c>
      <c r="B11" s="1" t="s">
        <v>38</v>
      </c>
      <c r="C11" s="1">
        <v>0.8</v>
      </c>
      <c r="D11" s="1" t="s">
        <v>32</v>
      </c>
    </row>
    <row r="12" spans="1:4" x14ac:dyDescent="0.2">
      <c r="A12" s="1" t="s">
        <v>41</v>
      </c>
      <c r="B12" s="1" t="s">
        <v>42</v>
      </c>
      <c r="C12" s="10">
        <f>'01_RawData'!K20</f>
        <v>0.23</v>
      </c>
      <c r="D12" s="1" t="s">
        <v>40</v>
      </c>
    </row>
    <row r="13" spans="1:4" x14ac:dyDescent="0.2">
      <c r="A13" s="1" t="s">
        <v>97</v>
      </c>
      <c r="B13" s="1" t="s">
        <v>98</v>
      </c>
      <c r="C13" s="1">
        <v>0.6</v>
      </c>
      <c r="D13" s="1" t="s">
        <v>99</v>
      </c>
    </row>
  </sheetData>
  <dataValidations count="2">
    <dataValidation type="list" allowBlank="1" showInputMessage="1" showErrorMessage="1" sqref="C2" xr:uid="{D00A459E-E6B7-44BB-9C79-0CF1D8CD0B0A}">
      <formula1>"Base,Up100,Down100"</formula1>
    </dataValidation>
    <dataValidation type="custom" allowBlank="1" showInputMessage="1" showErrorMessage="1" sqref="F2" xr:uid="{ACD9B511-19FB-4AB0-893B-270712CC6C4D}">
      <formula1>"Base,Up100,Down100"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3589FB-8638-48FE-A877-012853601FF5}">
          <x14:formula1>
            <xm:f>'01_RawData'!$B$1:$K$1</xm:f>
          </x14:formula1>
          <xm:sqref>C5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34F5B-B5F5-4840-9F11-0DF186734A22}">
  <sheetPr>
    <tabColor rgb="FF002060"/>
  </sheetPr>
  <dimension ref="A1:L2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33" sqref="G33"/>
    </sheetView>
  </sheetViews>
  <sheetFormatPr defaultRowHeight="12.75" x14ac:dyDescent="0.2"/>
  <cols>
    <col min="1" max="1" width="37.5703125" style="1" bestFit="1" customWidth="1"/>
    <col min="2" max="2" width="13.42578125" style="1" bestFit="1" customWidth="1"/>
    <col min="3" max="11" width="11.140625" style="1" bestFit="1" customWidth="1"/>
    <col min="12" max="12" width="32.28515625" style="1" bestFit="1" customWidth="1"/>
    <col min="13" max="16384" width="9.140625" style="1"/>
  </cols>
  <sheetData>
    <row r="1" spans="1:12" x14ac:dyDescent="0.2">
      <c r="A1" s="4" t="s">
        <v>0</v>
      </c>
      <c r="B1" s="4">
        <v>2016</v>
      </c>
      <c r="C1" s="4">
        <v>2017</v>
      </c>
      <c r="D1" s="4">
        <v>2018</v>
      </c>
      <c r="E1" s="4">
        <v>2019</v>
      </c>
      <c r="F1" s="4">
        <v>2020</v>
      </c>
      <c r="G1" s="4">
        <v>2021</v>
      </c>
      <c r="H1" s="4">
        <v>2022</v>
      </c>
      <c r="I1" s="4">
        <v>2023</v>
      </c>
      <c r="J1" s="4">
        <v>2024</v>
      </c>
      <c r="K1" s="4">
        <v>2025</v>
      </c>
      <c r="L1" s="4" t="s">
        <v>1</v>
      </c>
    </row>
    <row r="2" spans="1:12" x14ac:dyDescent="0.2">
      <c r="A2" s="3" t="s">
        <v>2</v>
      </c>
      <c r="B2" s="6">
        <v>9274</v>
      </c>
      <c r="C2" s="6">
        <v>10912</v>
      </c>
      <c r="D2" s="6">
        <v>13396</v>
      </c>
      <c r="E2" s="6">
        <v>10180</v>
      </c>
      <c r="F2" s="6">
        <v>10749</v>
      </c>
      <c r="G2" s="6">
        <v>9366</v>
      </c>
      <c r="H2" s="6">
        <v>13957</v>
      </c>
      <c r="I2" s="6">
        <v>13298</v>
      </c>
      <c r="J2" s="6">
        <v>12277</v>
      </c>
      <c r="K2" s="6">
        <v>13230</v>
      </c>
      <c r="L2" s="2" t="s">
        <v>56</v>
      </c>
    </row>
    <row r="3" spans="1:12" x14ac:dyDescent="0.2">
      <c r="A3" s="1" t="s">
        <v>3</v>
      </c>
      <c r="B3" s="2">
        <v>16620</v>
      </c>
      <c r="C3" s="2">
        <v>16006</v>
      </c>
      <c r="D3" s="2">
        <v>16349</v>
      </c>
      <c r="E3" s="2">
        <v>16861</v>
      </c>
      <c r="F3" s="2">
        <v>14306</v>
      </c>
      <c r="G3" s="2">
        <v>13258</v>
      </c>
      <c r="H3" s="2">
        <v>17645</v>
      </c>
      <c r="I3" s="2">
        <v>28051</v>
      </c>
      <c r="J3" s="2">
        <v>31288</v>
      </c>
      <c r="K3" s="2">
        <v>30749</v>
      </c>
      <c r="L3" s="2" t="s">
        <v>56</v>
      </c>
    </row>
    <row r="4" spans="1:12" x14ac:dyDescent="0.2">
      <c r="A4" s="1" t="s">
        <v>4</v>
      </c>
      <c r="B4" s="2">
        <v>7346</v>
      </c>
      <c r="C4" s="2">
        <v>5094</v>
      </c>
      <c r="D4" s="2">
        <v>2953</v>
      </c>
      <c r="E4" s="2">
        <v>6681</v>
      </c>
      <c r="F4" s="2">
        <v>3557</v>
      </c>
      <c r="G4" s="2">
        <v>3892</v>
      </c>
      <c r="H4" s="2">
        <v>3688</v>
      </c>
      <c r="I4" s="2">
        <v>14753</v>
      </c>
      <c r="J4" s="2">
        <v>19011</v>
      </c>
      <c r="K4" s="2">
        <v>17519</v>
      </c>
      <c r="L4" s="2" t="s">
        <v>56</v>
      </c>
    </row>
    <row r="5" spans="1:12" x14ac:dyDescent="0.2">
      <c r="A5" s="3" t="s">
        <v>45</v>
      </c>
      <c r="B5" s="6">
        <v>11435</v>
      </c>
      <c r="C5" s="6">
        <v>12320</v>
      </c>
      <c r="D5" s="6">
        <v>12714</v>
      </c>
      <c r="E5" s="6">
        <v>12377</v>
      </c>
      <c r="F5" s="6">
        <v>10773</v>
      </c>
      <c r="G5" s="6">
        <v>11163</v>
      </c>
      <c r="H5" s="6">
        <v>13172</v>
      </c>
      <c r="I5" s="6">
        <v>13765</v>
      </c>
      <c r="J5" s="6">
        <v>12845</v>
      </c>
      <c r="K5" s="6">
        <v>13635</v>
      </c>
      <c r="L5" s="2" t="s">
        <v>56</v>
      </c>
    </row>
    <row r="6" spans="1:12" x14ac:dyDescent="0.2">
      <c r="A6" s="1" t="s">
        <v>5</v>
      </c>
      <c r="B6" s="2">
        <v>450000</v>
      </c>
      <c r="C6" s="2">
        <v>456000</v>
      </c>
      <c r="D6" s="2">
        <v>444000</v>
      </c>
      <c r="E6" s="2">
        <v>440000</v>
      </c>
      <c r="F6" s="2">
        <v>440000</v>
      </c>
      <c r="G6" s="2">
        <v>449000</v>
      </c>
      <c r="H6" s="2">
        <v>454900</v>
      </c>
      <c r="I6" s="2">
        <v>449700</v>
      </c>
      <c r="J6" s="2">
        <v>459100</v>
      </c>
      <c r="K6" s="2">
        <v>481000</v>
      </c>
      <c r="L6" s="2" t="s">
        <v>56</v>
      </c>
    </row>
    <row r="7" spans="1:12" x14ac:dyDescent="0.2">
      <c r="A7" s="1" t="s">
        <v>6</v>
      </c>
      <c r="B7" s="2">
        <v>455000</v>
      </c>
      <c r="C7" s="2">
        <v>450000</v>
      </c>
      <c r="D7" s="2">
        <v>456000</v>
      </c>
      <c r="E7" s="2">
        <v>444000</v>
      </c>
      <c r="F7" s="2">
        <v>440000</v>
      </c>
      <c r="G7" s="2">
        <v>440000</v>
      </c>
      <c r="H7" s="2">
        <v>449000</v>
      </c>
      <c r="I7" s="2">
        <v>454900</v>
      </c>
      <c r="J7" s="2">
        <v>449700</v>
      </c>
      <c r="K7" s="2">
        <v>459100</v>
      </c>
      <c r="L7" s="2" t="s">
        <v>56</v>
      </c>
    </row>
    <row r="8" spans="1:12" x14ac:dyDescent="0.2">
      <c r="A8" s="3" t="s">
        <v>7</v>
      </c>
      <c r="B8" s="6">
        <f>(B6+B7)/2</f>
        <v>452500</v>
      </c>
      <c r="C8" s="6">
        <f>(C6+C7)/2</f>
        <v>453000</v>
      </c>
      <c r="D8" s="6">
        <f t="shared" ref="D8:K8" si="0">(D6+D7)/2</f>
        <v>450000</v>
      </c>
      <c r="E8" s="6">
        <f t="shared" si="0"/>
        <v>442000</v>
      </c>
      <c r="F8" s="6">
        <f t="shared" si="0"/>
        <v>440000</v>
      </c>
      <c r="G8" s="6">
        <f t="shared" si="0"/>
        <v>444500</v>
      </c>
      <c r="H8" s="6">
        <f t="shared" si="0"/>
        <v>451950</v>
      </c>
      <c r="I8" s="6">
        <f t="shared" si="0"/>
        <v>452300</v>
      </c>
      <c r="J8" s="6">
        <f t="shared" si="0"/>
        <v>454400</v>
      </c>
      <c r="K8" s="6">
        <f t="shared" si="0"/>
        <v>470050</v>
      </c>
      <c r="L8" s="2" t="s">
        <v>47</v>
      </c>
    </row>
    <row r="9" spans="1:12" x14ac:dyDescent="0.2">
      <c r="A9" s="1" t="s">
        <v>8</v>
      </c>
      <c r="B9" s="2">
        <v>413000</v>
      </c>
      <c r="C9" s="2">
        <v>416000</v>
      </c>
      <c r="D9" s="2">
        <v>416000</v>
      </c>
      <c r="E9" s="2">
        <v>412000</v>
      </c>
      <c r="F9" s="2">
        <v>451000</v>
      </c>
      <c r="G9" s="2">
        <v>476000</v>
      </c>
      <c r="H9" s="2">
        <v>475300</v>
      </c>
      <c r="I9" s="2">
        <v>471400</v>
      </c>
      <c r="J9" s="2">
        <v>482700</v>
      </c>
      <c r="K9" s="2">
        <v>496500</v>
      </c>
      <c r="L9" s="2" t="s">
        <v>56</v>
      </c>
    </row>
    <row r="10" spans="1:12" x14ac:dyDescent="0.2">
      <c r="A10" s="1" t="s">
        <v>9</v>
      </c>
      <c r="B10" s="2">
        <v>418000</v>
      </c>
      <c r="C10" s="2">
        <v>413000</v>
      </c>
      <c r="D10" s="2">
        <v>416000</v>
      </c>
      <c r="E10" s="2">
        <v>416000</v>
      </c>
      <c r="F10" s="2">
        <v>412000</v>
      </c>
      <c r="G10" s="2">
        <v>451000</v>
      </c>
      <c r="H10" s="2">
        <v>476000</v>
      </c>
      <c r="I10" s="2">
        <v>475300</v>
      </c>
      <c r="J10" s="2">
        <v>471400</v>
      </c>
      <c r="K10" s="2">
        <v>482700</v>
      </c>
      <c r="L10" s="2" t="s">
        <v>56</v>
      </c>
    </row>
    <row r="11" spans="1:12" x14ac:dyDescent="0.2">
      <c r="A11" s="3" t="s">
        <v>10</v>
      </c>
      <c r="B11" s="6">
        <f>(B9+B10)/2</f>
        <v>415500</v>
      </c>
      <c r="C11" s="6">
        <f t="shared" ref="C11:K11" si="1">(C9+C10)/2</f>
        <v>414500</v>
      </c>
      <c r="D11" s="6">
        <f t="shared" si="1"/>
        <v>416000</v>
      </c>
      <c r="E11" s="6">
        <f t="shared" si="1"/>
        <v>414000</v>
      </c>
      <c r="F11" s="6">
        <f t="shared" si="1"/>
        <v>431500</v>
      </c>
      <c r="G11" s="6">
        <f t="shared" si="1"/>
        <v>463500</v>
      </c>
      <c r="H11" s="6">
        <f t="shared" si="1"/>
        <v>475650</v>
      </c>
      <c r="I11" s="6">
        <f t="shared" si="1"/>
        <v>473350</v>
      </c>
      <c r="J11" s="6">
        <f t="shared" si="1"/>
        <v>477050</v>
      </c>
      <c r="K11" s="6">
        <f t="shared" si="1"/>
        <v>489600</v>
      </c>
      <c r="L11" s="2" t="s">
        <v>47</v>
      </c>
    </row>
    <row r="12" spans="1:12" x14ac:dyDescent="0.2">
      <c r="A12" s="1" t="s">
        <v>11</v>
      </c>
      <c r="B12" s="2">
        <v>111000</v>
      </c>
      <c r="C12" s="2">
        <v>101000</v>
      </c>
      <c r="D12" s="2">
        <v>123000</v>
      </c>
      <c r="E12" s="2">
        <v>124000</v>
      </c>
      <c r="F12" s="2">
        <v>109400</v>
      </c>
      <c r="G12" s="2">
        <v>91400</v>
      </c>
      <c r="H12" s="2">
        <v>100300</v>
      </c>
      <c r="I12" s="2">
        <v>98700</v>
      </c>
      <c r="J12" s="2">
        <v>92500</v>
      </c>
      <c r="K12" s="2">
        <v>99400</v>
      </c>
      <c r="L12" s="2" t="s">
        <v>56</v>
      </c>
    </row>
    <row r="13" spans="1:12" x14ac:dyDescent="0.2">
      <c r="A13" s="1" t="s">
        <v>12</v>
      </c>
      <c r="B13" s="2">
        <v>120000</v>
      </c>
      <c r="C13" s="2">
        <v>111000</v>
      </c>
      <c r="D13" s="2">
        <v>101000</v>
      </c>
      <c r="E13" s="2">
        <v>123000</v>
      </c>
      <c r="F13" s="2">
        <v>124000</v>
      </c>
      <c r="G13" s="2">
        <v>109400</v>
      </c>
      <c r="H13" s="2">
        <v>91400</v>
      </c>
      <c r="I13" s="2">
        <v>100300</v>
      </c>
      <c r="J13" s="2">
        <v>98700</v>
      </c>
      <c r="K13" s="2">
        <v>92500</v>
      </c>
      <c r="L13" s="2" t="s">
        <v>56</v>
      </c>
    </row>
    <row r="14" spans="1:12" x14ac:dyDescent="0.2">
      <c r="A14" s="3" t="s">
        <v>13</v>
      </c>
      <c r="B14" s="6">
        <f>(B12+B13)/2</f>
        <v>115500</v>
      </c>
      <c r="C14" s="6">
        <f t="shared" ref="C14:K14" si="2">(C12+C13)/2</f>
        <v>106000</v>
      </c>
      <c r="D14" s="6">
        <f t="shared" si="2"/>
        <v>112000</v>
      </c>
      <c r="E14" s="6">
        <f t="shared" si="2"/>
        <v>123500</v>
      </c>
      <c r="F14" s="6">
        <f t="shared" si="2"/>
        <v>116700</v>
      </c>
      <c r="G14" s="6">
        <f t="shared" si="2"/>
        <v>100400</v>
      </c>
      <c r="H14" s="6">
        <f t="shared" si="2"/>
        <v>95850</v>
      </c>
      <c r="I14" s="6">
        <f t="shared" si="2"/>
        <v>99500</v>
      </c>
      <c r="J14" s="6">
        <f t="shared" si="2"/>
        <v>95600</v>
      </c>
      <c r="K14" s="6">
        <f t="shared" si="2"/>
        <v>95950</v>
      </c>
      <c r="L14" s="2" t="s">
        <v>47</v>
      </c>
    </row>
    <row r="15" spans="1:12" x14ac:dyDescent="0.2">
      <c r="A15" s="3" t="s">
        <v>14</v>
      </c>
      <c r="B15" s="6">
        <v>436000</v>
      </c>
      <c r="C15" s="6">
        <v>435000</v>
      </c>
      <c r="D15" s="6">
        <v>436000</v>
      </c>
      <c r="E15" s="6">
        <v>435000</v>
      </c>
      <c r="F15" s="6">
        <v>435000</v>
      </c>
      <c r="G15" s="6">
        <v>445000</v>
      </c>
      <c r="H15" s="6">
        <v>452000</v>
      </c>
      <c r="I15" s="6">
        <v>453300</v>
      </c>
      <c r="J15" s="6">
        <v>451200</v>
      </c>
      <c r="K15" s="6">
        <v>462900</v>
      </c>
      <c r="L15" s="2" t="s">
        <v>56</v>
      </c>
    </row>
    <row r="16" spans="1:12" x14ac:dyDescent="0.2">
      <c r="A16" s="3" t="s">
        <v>52</v>
      </c>
      <c r="B16" s="6">
        <f>B11+B14</f>
        <v>531000</v>
      </c>
      <c r="C16" s="6">
        <f t="shared" ref="C16:K16" si="3">C11+C14</f>
        <v>520500</v>
      </c>
      <c r="D16" s="6">
        <f t="shared" si="3"/>
        <v>528000</v>
      </c>
      <c r="E16" s="6">
        <f t="shared" si="3"/>
        <v>537500</v>
      </c>
      <c r="F16" s="6">
        <f t="shared" si="3"/>
        <v>548200</v>
      </c>
      <c r="G16" s="6">
        <f t="shared" si="3"/>
        <v>563900</v>
      </c>
      <c r="H16" s="6">
        <f t="shared" si="3"/>
        <v>571500</v>
      </c>
      <c r="I16" s="6">
        <f t="shared" si="3"/>
        <v>572850</v>
      </c>
      <c r="J16" s="6">
        <f t="shared" si="3"/>
        <v>572650</v>
      </c>
      <c r="K16" s="6">
        <f t="shared" si="3"/>
        <v>585550</v>
      </c>
      <c r="L16" s="2" t="s">
        <v>47</v>
      </c>
    </row>
    <row r="17" spans="1:12" x14ac:dyDescent="0.2">
      <c r="A17" s="1" t="s">
        <v>43</v>
      </c>
      <c r="B17" s="2">
        <v>4238</v>
      </c>
      <c r="C17" s="2">
        <v>5275</v>
      </c>
      <c r="D17" s="2">
        <v>5960</v>
      </c>
      <c r="E17" s="2">
        <v>4393</v>
      </c>
      <c r="F17" s="2">
        <v>1226</v>
      </c>
      <c r="G17" s="2">
        <v>6902</v>
      </c>
      <c r="H17" s="2">
        <v>6928</v>
      </c>
      <c r="I17" s="2">
        <v>7503</v>
      </c>
      <c r="J17" s="2">
        <v>5971</v>
      </c>
      <c r="K17" s="2">
        <v>6661</v>
      </c>
      <c r="L17" s="2" t="s">
        <v>56</v>
      </c>
    </row>
    <row r="18" spans="1:12" x14ac:dyDescent="0.2">
      <c r="A18" s="1" t="s">
        <v>44</v>
      </c>
      <c r="B18" s="2">
        <v>1724</v>
      </c>
      <c r="C18" s="2">
        <v>1626</v>
      </c>
      <c r="D18" s="2">
        <v>1454</v>
      </c>
      <c r="E18" s="2">
        <v>1387</v>
      </c>
      <c r="F18" s="2">
        <v>-161</v>
      </c>
      <c r="G18" s="2">
        <v>1017</v>
      </c>
      <c r="H18" s="2">
        <v>1373</v>
      </c>
      <c r="I18" s="2">
        <v>1985</v>
      </c>
      <c r="J18" s="2">
        <v>1494</v>
      </c>
      <c r="K18" s="2">
        <v>1904</v>
      </c>
      <c r="L18" s="2" t="s">
        <v>56</v>
      </c>
    </row>
    <row r="19" spans="1:12" x14ac:dyDescent="0.2">
      <c r="A19" s="1" t="s">
        <v>15</v>
      </c>
      <c r="B19" s="5">
        <f t="shared" ref="B19:K19" si="4">B18/B17</f>
        <v>0.40679565832940068</v>
      </c>
      <c r="C19" s="5">
        <f t="shared" si="4"/>
        <v>0.30824644549763031</v>
      </c>
      <c r="D19" s="5">
        <f t="shared" si="4"/>
        <v>0.24395973154362416</v>
      </c>
      <c r="E19" s="5">
        <f t="shared" si="4"/>
        <v>0.31572956977008876</v>
      </c>
      <c r="F19" s="5">
        <f t="shared" si="4"/>
        <v>-0.13132137030995106</v>
      </c>
      <c r="G19" s="5">
        <f t="shared" si="4"/>
        <v>0.1473485946102579</v>
      </c>
      <c r="H19" s="5">
        <f t="shared" si="4"/>
        <v>0.19818129330254042</v>
      </c>
      <c r="I19" s="5">
        <f t="shared" si="4"/>
        <v>0.26456084232973476</v>
      </c>
      <c r="J19" s="5">
        <f t="shared" si="4"/>
        <v>0.2502093451683135</v>
      </c>
      <c r="K19" s="5">
        <f t="shared" si="4"/>
        <v>0.28584296652154328</v>
      </c>
      <c r="L19" s="2" t="s">
        <v>47</v>
      </c>
    </row>
    <row r="20" spans="1:12" x14ac:dyDescent="0.2">
      <c r="A20" s="3" t="s">
        <v>50</v>
      </c>
      <c r="B20" s="7">
        <v>0.23</v>
      </c>
      <c r="C20" s="7">
        <v>0.23</v>
      </c>
      <c r="D20" s="7">
        <v>0.23</v>
      </c>
      <c r="E20" s="7">
        <v>0.23</v>
      </c>
      <c r="F20" s="7">
        <v>0.23</v>
      </c>
      <c r="G20" s="7">
        <v>0.23</v>
      </c>
      <c r="H20" s="7">
        <v>0.23</v>
      </c>
      <c r="I20" s="7">
        <v>0.23</v>
      </c>
      <c r="J20" s="7">
        <v>0.23</v>
      </c>
      <c r="K20" s="7">
        <v>0.23</v>
      </c>
      <c r="L20" s="1" t="s">
        <v>51</v>
      </c>
    </row>
    <row r="21" spans="1:12" x14ac:dyDescent="0.2">
      <c r="A21" s="1" t="s">
        <v>48</v>
      </c>
      <c r="B21" s="8">
        <f t="shared" ref="B21:K21" si="5">B4/B14</f>
        <v>6.3601731601731604E-2</v>
      </c>
      <c r="C21" s="8">
        <f t="shared" si="5"/>
        <v>4.8056603773584908E-2</v>
      </c>
      <c r="D21" s="8">
        <f t="shared" si="5"/>
        <v>2.636607142857143E-2</v>
      </c>
      <c r="E21" s="8">
        <f t="shared" si="5"/>
        <v>5.4097165991902833E-2</v>
      </c>
      <c r="F21" s="8">
        <f t="shared" si="5"/>
        <v>3.0479862896315338E-2</v>
      </c>
      <c r="G21" s="8">
        <f t="shared" si="5"/>
        <v>3.8764940239043824E-2</v>
      </c>
      <c r="H21" s="8">
        <f t="shared" si="5"/>
        <v>3.8476786645800731E-2</v>
      </c>
      <c r="I21" s="8">
        <f t="shared" si="5"/>
        <v>0.14827135678391959</v>
      </c>
      <c r="J21" s="8">
        <f t="shared" si="5"/>
        <v>0.19885983263598325</v>
      </c>
      <c r="K21" s="8">
        <f t="shared" si="5"/>
        <v>0.18258467952058363</v>
      </c>
      <c r="L21" s="2" t="s">
        <v>47</v>
      </c>
    </row>
    <row r="22" spans="1:12" x14ac:dyDescent="0.2">
      <c r="A22" s="1" t="s">
        <v>46</v>
      </c>
      <c r="B22" s="8">
        <f>B3/B8</f>
        <v>3.6729281767955799E-2</v>
      </c>
      <c r="C22" s="8">
        <f t="shared" ref="C22:K22" si="6">C3/C8</f>
        <v>3.5333333333333335E-2</v>
      </c>
      <c r="D22" s="8">
        <f t="shared" si="6"/>
        <v>3.6331111111111113E-2</v>
      </c>
      <c r="E22" s="8">
        <f t="shared" si="6"/>
        <v>3.8147058823529409E-2</v>
      </c>
      <c r="F22" s="8">
        <f t="shared" si="6"/>
        <v>3.2513636363636363E-2</v>
      </c>
      <c r="G22" s="8">
        <f t="shared" si="6"/>
        <v>2.9826771653543308E-2</v>
      </c>
      <c r="H22" s="8">
        <f t="shared" si="6"/>
        <v>3.9041929416970905E-2</v>
      </c>
      <c r="I22" s="8">
        <f t="shared" si="6"/>
        <v>6.2018571744417425E-2</v>
      </c>
      <c r="J22" s="8">
        <f t="shared" si="6"/>
        <v>6.8855633802816896E-2</v>
      </c>
      <c r="K22" s="8">
        <f t="shared" si="6"/>
        <v>6.5416445059036279E-2</v>
      </c>
      <c r="L22" s="2" t="s">
        <v>47</v>
      </c>
    </row>
    <row r="23" spans="1:12" x14ac:dyDescent="0.2">
      <c r="A23" s="1" t="s">
        <v>49</v>
      </c>
      <c r="B23" s="8">
        <f>B4/B16</f>
        <v>1.383427495291902E-2</v>
      </c>
      <c r="C23" s="8">
        <f t="shared" ref="C23:J23" si="7">C4/C16</f>
        <v>9.7867435158501444E-3</v>
      </c>
      <c r="D23" s="8">
        <f t="shared" si="7"/>
        <v>5.5928030303030304E-3</v>
      </c>
      <c r="E23" s="8">
        <f t="shared" si="7"/>
        <v>1.2429767441860464E-2</v>
      </c>
      <c r="F23" s="8">
        <f t="shared" si="7"/>
        <v>6.4885078438526086E-3</v>
      </c>
      <c r="G23" s="8">
        <f t="shared" si="7"/>
        <v>6.9019329668380917E-3</v>
      </c>
      <c r="H23" s="8">
        <f t="shared" si="7"/>
        <v>6.4531933508311457E-3</v>
      </c>
      <c r="I23" s="8">
        <f t="shared" si="7"/>
        <v>2.5753687701841669E-2</v>
      </c>
      <c r="J23" s="8">
        <f t="shared" si="7"/>
        <v>3.3198288657993541E-2</v>
      </c>
      <c r="K23" s="8">
        <f t="shared" ref="K23" si="8">K4/(K11+K14)</f>
        <v>2.991887968576552E-2</v>
      </c>
      <c r="L23" s="2" t="s">
        <v>47</v>
      </c>
    </row>
    <row r="24" spans="1:12" x14ac:dyDescent="0.2">
      <c r="A24" s="1" t="s">
        <v>82</v>
      </c>
      <c r="B24" s="8">
        <f>B5/B15</f>
        <v>2.6227064220183487E-2</v>
      </c>
      <c r="C24" s="8">
        <f t="shared" ref="C24:K24" si="9">C5/C15</f>
        <v>2.8321839080459769E-2</v>
      </c>
      <c r="D24" s="8">
        <f t="shared" si="9"/>
        <v>2.9160550458715597E-2</v>
      </c>
      <c r="E24" s="8">
        <f t="shared" si="9"/>
        <v>2.8452873563218392E-2</v>
      </c>
      <c r="F24" s="8">
        <f t="shared" si="9"/>
        <v>2.476551724137931E-2</v>
      </c>
      <c r="G24" s="8">
        <f t="shared" si="9"/>
        <v>2.5085393258426965E-2</v>
      </c>
      <c r="H24" s="8">
        <f t="shared" si="9"/>
        <v>2.9141592920353981E-2</v>
      </c>
      <c r="I24" s="8">
        <f t="shared" si="9"/>
        <v>3.0366203397308625E-2</v>
      </c>
      <c r="J24" s="8">
        <f t="shared" si="9"/>
        <v>2.8468528368794325E-2</v>
      </c>
      <c r="K24" s="8">
        <f t="shared" si="9"/>
        <v>2.9455605962410886E-2</v>
      </c>
      <c r="L24" s="2" t="s">
        <v>47</v>
      </c>
    </row>
    <row r="25" spans="1:12" x14ac:dyDescent="0.2">
      <c r="A25" s="1" t="s">
        <v>83</v>
      </c>
      <c r="B25" s="8">
        <f>B2/B15</f>
        <v>2.1270642201834861E-2</v>
      </c>
      <c r="C25" s="8">
        <f t="shared" ref="C25:K25" si="10">C2/C15</f>
        <v>2.5085057471264369E-2</v>
      </c>
      <c r="D25" s="8">
        <f t="shared" si="10"/>
        <v>3.0724770642201835E-2</v>
      </c>
      <c r="E25" s="8">
        <f t="shared" si="10"/>
        <v>2.3402298850574713E-2</v>
      </c>
      <c r="F25" s="8">
        <f t="shared" si="10"/>
        <v>2.4710344827586207E-2</v>
      </c>
      <c r="G25" s="8">
        <f t="shared" si="10"/>
        <v>2.1047191011235956E-2</v>
      </c>
      <c r="H25" s="8">
        <f t="shared" si="10"/>
        <v>3.0878318584070797E-2</v>
      </c>
      <c r="I25" s="8">
        <f t="shared" si="10"/>
        <v>2.9335980586807853E-2</v>
      </c>
      <c r="J25" s="8">
        <f t="shared" si="10"/>
        <v>2.7209663120567378E-2</v>
      </c>
      <c r="K25" s="8">
        <f t="shared" si="10"/>
        <v>2.8580686973428387E-2</v>
      </c>
      <c r="L25" s="2" t="s">
        <v>47</v>
      </c>
    </row>
    <row r="26" spans="1:12" x14ac:dyDescent="0.2">
      <c r="A26" s="3" t="s">
        <v>53</v>
      </c>
      <c r="B26" s="9">
        <v>2.7099999999999999E-2</v>
      </c>
      <c r="C26" s="9">
        <v>2.86E-2</v>
      </c>
      <c r="D26" s="9">
        <v>2.93E-2</v>
      </c>
      <c r="E26" s="9">
        <v>2.8799999999999999E-2</v>
      </c>
      <c r="F26" s="9">
        <v>2.52E-2</v>
      </c>
      <c r="G26" s="9">
        <v>2.5399999999999999E-2</v>
      </c>
      <c r="H26" s="9">
        <v>2.9399999999999999E-2</v>
      </c>
      <c r="I26" s="9">
        <v>3.1099999999999999E-2</v>
      </c>
      <c r="J26" s="9">
        <v>2.9499999999999998E-2</v>
      </c>
      <c r="K26" s="9">
        <v>3.0599999999999999E-2</v>
      </c>
      <c r="L26" s="2" t="s">
        <v>56</v>
      </c>
    </row>
    <row r="27" spans="1:12" x14ac:dyDescent="0.2">
      <c r="A27" s="3" t="s">
        <v>54</v>
      </c>
      <c r="B27" s="6">
        <f>B26*B15</f>
        <v>11815.6</v>
      </c>
      <c r="C27" s="6">
        <f t="shared" ref="C27:K27" si="11">C26*C15</f>
        <v>12441</v>
      </c>
      <c r="D27" s="6">
        <f t="shared" si="11"/>
        <v>12774.8</v>
      </c>
      <c r="E27" s="6">
        <f t="shared" si="11"/>
        <v>12528</v>
      </c>
      <c r="F27" s="6">
        <f t="shared" si="11"/>
        <v>10962</v>
      </c>
      <c r="G27" s="6">
        <f t="shared" si="11"/>
        <v>11303</v>
      </c>
      <c r="H27" s="6">
        <f t="shared" si="11"/>
        <v>13288.8</v>
      </c>
      <c r="I27" s="6">
        <f t="shared" si="11"/>
        <v>14097.63</v>
      </c>
      <c r="J27" s="6">
        <f t="shared" si="11"/>
        <v>13310.4</v>
      </c>
      <c r="K27" s="6">
        <f t="shared" si="11"/>
        <v>14164.74</v>
      </c>
      <c r="L27" s="2" t="s">
        <v>47</v>
      </c>
    </row>
    <row r="28" spans="1:12" x14ac:dyDescent="0.2">
      <c r="A28" s="1" t="s">
        <v>55</v>
      </c>
      <c r="B28" s="2">
        <f>B27-B5</f>
        <v>380.60000000000036</v>
      </c>
      <c r="C28" s="2">
        <f t="shared" ref="C28:K28" si="12">C27-C5</f>
        <v>121</v>
      </c>
      <c r="D28" s="2">
        <f t="shared" si="12"/>
        <v>60.799999999999272</v>
      </c>
      <c r="E28" s="2">
        <f t="shared" si="12"/>
        <v>151</v>
      </c>
      <c r="F28" s="2">
        <f t="shared" si="12"/>
        <v>189</v>
      </c>
      <c r="G28" s="2">
        <f t="shared" si="12"/>
        <v>140</v>
      </c>
      <c r="H28" s="2">
        <f t="shared" si="12"/>
        <v>116.79999999999927</v>
      </c>
      <c r="I28" s="2">
        <f t="shared" si="12"/>
        <v>332.6299999999992</v>
      </c>
      <c r="J28" s="2">
        <f t="shared" si="12"/>
        <v>465.39999999999964</v>
      </c>
      <c r="K28" s="2">
        <f t="shared" si="12"/>
        <v>529.73999999999978</v>
      </c>
      <c r="L28" s="2" t="s">
        <v>47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87880-C394-497A-B076-BA83AE9293DC}">
  <sheetPr>
    <tabColor rgb="FF002060"/>
  </sheetPr>
  <dimension ref="A1:B29"/>
  <sheetViews>
    <sheetView workbookViewId="0">
      <selection activeCell="C17" sqref="C17"/>
    </sheetView>
  </sheetViews>
  <sheetFormatPr defaultRowHeight="12.75" x14ac:dyDescent="0.2"/>
  <cols>
    <col min="1" max="1" width="26.42578125" style="1" bestFit="1" customWidth="1"/>
    <col min="2" max="2" width="11.140625" style="1" bestFit="1" customWidth="1"/>
    <col min="3" max="16384" width="9.140625" style="1"/>
  </cols>
  <sheetData>
    <row r="1" spans="1:2" x14ac:dyDescent="0.2">
      <c r="A1" s="3" t="s">
        <v>57</v>
      </c>
      <c r="B1" s="3" t="s">
        <v>18</v>
      </c>
    </row>
    <row r="2" spans="1:2" x14ac:dyDescent="0.2">
      <c r="A2" s="1" t="s">
        <v>58</v>
      </c>
      <c r="B2" s="5">
        <f>INDEX('00_Control'!$C:$C, MATCH("Shock ", '00_Control'!$B:$B, 0))</f>
        <v>0.01</v>
      </c>
    </row>
    <row r="3" spans="1:2" x14ac:dyDescent="0.2">
      <c r="A3" s="1" t="s">
        <v>85</v>
      </c>
      <c r="B3" s="11">
        <f>INDEX('00_Control'!$C:$C, MATCH("Selected Year", '00_Control'!$B:$B, 0))</f>
        <v>2025</v>
      </c>
    </row>
    <row r="4" spans="1:2" x14ac:dyDescent="0.2">
      <c r="A4" s="1" t="s">
        <v>87</v>
      </c>
      <c r="B4" s="11">
        <f>MATCH($B$3, '01_RawData'!$B$1:$K$1, 0)</f>
        <v>10</v>
      </c>
    </row>
    <row r="5" spans="1:2" x14ac:dyDescent="0.2">
      <c r="A5" s="3" t="s">
        <v>59</v>
      </c>
    </row>
    <row r="6" spans="1:2" x14ac:dyDescent="0.2">
      <c r="A6" s="1" t="s">
        <v>60</v>
      </c>
      <c r="B6" s="2" cm="1">
        <f t="array" ref="B6">INDEX('01_RawData'!$B:$K, MATCH("Loans - Average", '01_RawData'!$A:$A, 0), $B$4)</f>
        <v>470050</v>
      </c>
    </row>
    <row r="7" spans="1:2" x14ac:dyDescent="0.2">
      <c r="A7" s="1" t="s">
        <v>61</v>
      </c>
      <c r="B7" s="2" cm="1">
        <f t="array" ref="B7">INDEX('01_RawData'!$B:$K, MATCH("Customer Deposits - Average", '01_RawData'!$A:$A, 0), $B$4)</f>
        <v>489600</v>
      </c>
    </row>
    <row r="8" spans="1:2" x14ac:dyDescent="0.2">
      <c r="A8" s="1" t="s">
        <v>62</v>
      </c>
      <c r="B8" s="2" cm="1">
        <f t="array" ref="B8">INDEX('01_RawData'!$B:$K, MATCH("Wholesale Funding - Average", '01_RawData'!$A:$A, 0), $B$4)</f>
        <v>95950</v>
      </c>
    </row>
    <row r="9" spans="1:2" x14ac:dyDescent="0.2">
      <c r="A9" s="1" t="s">
        <v>63</v>
      </c>
      <c r="B9" s="2" cm="1">
        <f t="array" ref="B9">INDEX('01_RawData'!$B:$K, MATCH("Average Interest-Earning Assets (AIEA)", '01_RawData'!$A:$A, 0), $B$4)</f>
        <v>462900</v>
      </c>
    </row>
    <row r="10" spans="1:2" x14ac:dyDescent="0.2">
      <c r="A10" s="1" t="s">
        <v>81</v>
      </c>
      <c r="B10" s="2" cm="1">
        <f t="array" ref="B10">INDEX('01_RawData'!$B:$K, MATCH("Implied Banking NII", '01_RawData'!$A:$A, 0), $B$4)</f>
        <v>14164.74</v>
      </c>
    </row>
    <row r="11" spans="1:2" x14ac:dyDescent="0.2">
      <c r="A11" s="1" t="s">
        <v>84</v>
      </c>
      <c r="B11" s="8" cm="1">
        <f t="array" ref="B11">INDEX('01_RawData'!$B:$K, MATCH("Reported Banking NIM", '01_RawData'!$A:$A, 0), $B$4)</f>
        <v>3.0599999999999999E-2</v>
      </c>
    </row>
    <row r="12" spans="1:2" x14ac:dyDescent="0.2">
      <c r="A12" s="1" t="s">
        <v>42</v>
      </c>
      <c r="B12" s="5">
        <f>INDEX('00_Control'!$C:$C, MATCH("Tax Rate", '00_Control'!$B:$B, 0))</f>
        <v>0.23</v>
      </c>
    </row>
    <row r="13" spans="1:2" x14ac:dyDescent="0.2">
      <c r="A13" s="3" t="s">
        <v>64</v>
      </c>
    </row>
    <row r="14" spans="1:2" x14ac:dyDescent="0.2">
      <c r="A14" s="1" t="s">
        <v>65</v>
      </c>
      <c r="B14" s="1">
        <f>INDEX('00_Control'!$C:$C, MATCH("Loan_Beta", '00_Control'!$B:$B, 0))</f>
        <v>0.8</v>
      </c>
    </row>
    <row r="15" spans="1:2" x14ac:dyDescent="0.2">
      <c r="A15" s="1" t="s">
        <v>66</v>
      </c>
      <c r="B15" s="1">
        <f>INDEX('00_Control'!$C:$C, MATCH("Deposit_Beta", '00_Control'!$B:$B, 0))</f>
        <v>0.35</v>
      </c>
    </row>
    <row r="16" spans="1:2" x14ac:dyDescent="0.2">
      <c r="A16" s="1" t="s">
        <v>67</v>
      </c>
      <c r="B16" s="1">
        <f>INDEX('00_Control'!$C:$C, MATCH("Wholesale_Funding_Beta", '00_Control'!$B:$B, 0))</f>
        <v>0.9</v>
      </c>
    </row>
    <row r="17" spans="1:2" x14ac:dyDescent="0.2">
      <c r="A17" s="1" t="s">
        <v>68</v>
      </c>
      <c r="B17" s="1">
        <f>INDEX('00_Control'!$C:$C, MATCH("Loans_Repricing", '00_Control'!$B:$B, 0))</f>
        <v>0.6</v>
      </c>
    </row>
    <row r="18" spans="1:2" x14ac:dyDescent="0.2">
      <c r="A18" s="1" t="s">
        <v>69</v>
      </c>
      <c r="B18" s="1">
        <f>INDEX('00_Control'!$C:$C, MATCH("Deposits_Repricing", '00_Control'!$B:$B, 0))</f>
        <v>0.5</v>
      </c>
    </row>
    <row r="19" spans="1:2" x14ac:dyDescent="0.2">
      <c r="A19" s="1" t="s">
        <v>70</v>
      </c>
      <c r="B19" s="1">
        <f>INDEX('00_Control'!$C:$C, MATCH("Funding_Repricing", '00_Control'!$B:$B, 0))</f>
        <v>0.8</v>
      </c>
    </row>
    <row r="20" spans="1:2" x14ac:dyDescent="0.2">
      <c r="A20" s="3" t="s">
        <v>71</v>
      </c>
    </row>
    <row r="21" spans="1:2" x14ac:dyDescent="0.2">
      <c r="A21" s="1" t="s">
        <v>72</v>
      </c>
      <c r="B21" s="2">
        <f>B2*B6*B14*B17</f>
        <v>2256.2399999999998</v>
      </c>
    </row>
    <row r="22" spans="1:2" x14ac:dyDescent="0.2">
      <c r="A22" s="1" t="s">
        <v>73</v>
      </c>
      <c r="B22" s="2">
        <f>B2*B7*B15*B18</f>
        <v>856.8</v>
      </c>
    </row>
    <row r="23" spans="1:2" x14ac:dyDescent="0.2">
      <c r="A23" s="1" t="s">
        <v>74</v>
      </c>
      <c r="B23" s="2">
        <f>B2*B8*B16*B19</f>
        <v>690.84000000000015</v>
      </c>
    </row>
    <row r="24" spans="1:2" x14ac:dyDescent="0.2">
      <c r="A24" s="1" t="s">
        <v>75</v>
      </c>
      <c r="B24" s="2">
        <f>B21-B22-B23</f>
        <v>708.59999999999968</v>
      </c>
    </row>
    <row r="25" spans="1:2" x14ac:dyDescent="0.2">
      <c r="A25" s="3" t="s">
        <v>76</v>
      </c>
    </row>
    <row r="26" spans="1:2" x14ac:dyDescent="0.2">
      <c r="A26" s="1" t="s">
        <v>77</v>
      </c>
      <c r="B26" s="2">
        <f>B10+B24</f>
        <v>14873.34</v>
      </c>
    </row>
    <row r="27" spans="1:2" x14ac:dyDescent="0.2">
      <c r="A27" s="1" t="s">
        <v>78</v>
      </c>
      <c r="B27" s="8">
        <f>B26/B9</f>
        <v>3.2130784186649386E-2</v>
      </c>
    </row>
    <row r="28" spans="1:2" x14ac:dyDescent="0.2">
      <c r="A28" s="1" t="s">
        <v>79</v>
      </c>
      <c r="B28" s="11">
        <f>(B27-B11)*10000</f>
        <v>15.307841866493872</v>
      </c>
    </row>
    <row r="29" spans="1:2" x14ac:dyDescent="0.2">
      <c r="A29" s="1" t="s">
        <v>80</v>
      </c>
      <c r="B29" s="2">
        <f>B24*(1-'00_Control'!C12)</f>
        <v>545.62199999999973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C8F64-7F80-435F-8B6D-DBAC8AA7A42F}">
  <sheetPr>
    <tabColor rgb="FF002060"/>
  </sheetPr>
  <dimension ref="A1:L12"/>
  <sheetViews>
    <sheetView tabSelected="1" workbookViewId="0">
      <selection activeCell="O14" sqref="O14"/>
    </sheetView>
  </sheetViews>
  <sheetFormatPr defaultRowHeight="12.75" x14ac:dyDescent="0.2"/>
  <cols>
    <col min="1" max="2" width="9.140625" style="1"/>
    <col min="3" max="3" width="10.140625" style="1" bestFit="1" customWidth="1"/>
    <col min="4" max="4" width="13.42578125" style="1" bestFit="1" customWidth="1"/>
    <col min="5" max="5" width="18.85546875" style="1" bestFit="1" customWidth="1"/>
    <col min="6" max="6" width="12.85546875" style="1" bestFit="1" customWidth="1"/>
    <col min="7" max="7" width="12.7109375" style="1" bestFit="1" customWidth="1"/>
    <col min="8" max="8" width="18.28515625" style="1" bestFit="1" customWidth="1"/>
    <col min="9" max="9" width="12.28515625" style="1" bestFit="1" customWidth="1"/>
    <col min="10" max="10" width="9.140625" style="1"/>
    <col min="11" max="11" width="10" style="1" bestFit="1" customWidth="1"/>
    <col min="12" max="12" width="13.5703125" style="1" bestFit="1" customWidth="1"/>
    <col min="13" max="16384" width="9.140625" style="1"/>
  </cols>
  <sheetData>
    <row r="1" spans="1:12" x14ac:dyDescent="0.2">
      <c r="A1" s="4" t="s">
        <v>88</v>
      </c>
      <c r="B1" s="4" t="s">
        <v>89</v>
      </c>
      <c r="C1" s="4" t="s">
        <v>90</v>
      </c>
      <c r="D1" s="4" t="s">
        <v>91</v>
      </c>
      <c r="E1" s="4" t="s">
        <v>92</v>
      </c>
      <c r="F1" s="4" t="s">
        <v>93</v>
      </c>
      <c r="G1" s="4" t="s">
        <v>94</v>
      </c>
      <c r="H1" s="4" t="s">
        <v>95</v>
      </c>
      <c r="I1" s="4" t="s">
        <v>96</v>
      </c>
      <c r="J1" s="4" t="s">
        <v>100</v>
      </c>
      <c r="K1" s="4" t="s">
        <v>101</v>
      </c>
      <c r="L1" s="4" t="s">
        <v>114</v>
      </c>
    </row>
    <row r="2" spans="1:12" x14ac:dyDescent="0.2">
      <c r="A2" s="1">
        <v>2016</v>
      </c>
      <c r="B2" s="8">
        <f>INDEX('01_RawData'!$B:$K, MATCH("Reported Banking NIM", '01_RawData'!$A:$A, 0), MATCH($A2, '01_RawData'!$B$1:$K$1, 0))</f>
        <v>2.7099999999999999E-2</v>
      </c>
      <c r="C2" s="2">
        <f>INDEX('01_RawData'!$B:$K, MATCH("Implied Banking NII", '01_RawData'!$A:$A, 0), MATCH($A2, '01_RawData'!$B$1:$K$1, 0))</f>
        <v>11815.6</v>
      </c>
      <c r="D2" s="2">
        <f>(INDEX('01_RawData'!$B:$K,MATCH("Loans - Average",'01_RawData'!$A:$A,0),MATCH($A2,'01_RawData'!$B$1:$K$1,0))*INDEX('00_Control'!$C:$C,MATCH("Loan_Beta",'00_Control'!$B:$B,0))*INDEX('00_Control'!$C:$C,MATCH("Loans_Repricing",'00_Control'!$B:$B,0))*0.01)-(INDEX('01_RawData'!$B:$K,MATCH("Customer Deposits - Average",'01_RawData'!$A:$A,0),MATCH($A2,'01_RawData'!$B$1:$K$1,0))*INDEX('00_Control'!$C:$C,MATCH("Deposit_Beta",'00_Control'!$B:$B,0))
*INDEX('00_Control'!$C:$C,MATCH("Deposits_Repricing",'00_Control'!$B:$B,0))*0.01)-(INDEX('01_RawData'!$B:$K,MATCH("Wholesale Funding - Average",'01_RawData'!$A:$A,0),MATCH($A2,'01_RawData'!$B$1:$K$1,0))*INDEX('00_Control'!$C:$C,MATCH("Wholesale_Funding_Beta",'00_Control'!$B:$B,0))
*INDEX('00_Control'!$C:$C,MATCH("Funding_Repricing",'00_Control'!$B:$B,0))
*0.01)</f>
        <v>613.27499999999998</v>
      </c>
      <c r="E2" s="12">
        <f>((($C2 + $D2) /INDEX('01_RawData'!$B:$K,MATCH("Average Interest-Earning Assets (AIEA)",'01_RawData'!$A:$A,0),MATCH($A2,'01_RawData'!$B$1:$K$1,0)))- $B2) * 10000</f>
        <v>14.0659403669725</v>
      </c>
      <c r="F2" s="2">
        <f>D2 * (1 - INDEX('00_Control'!$C:$C, MATCH("Tax Rate", '00_Control'!$B:$B, 0)))</f>
        <v>472.22174999999999</v>
      </c>
      <c r="G2" s="2">
        <f>-D2</f>
        <v>-613.27499999999998</v>
      </c>
      <c r="H2" s="14">
        <f>((($C2 + $G2) /INDEX('01_RawData'!$B:$K,MATCH("Average Interest-Earning Assets (AIEA)",'01_RawData'!$A:$A,0),MATCH($A2,'01_RawData'!$B$1:$K$1,0)))- $B2) * 10000</f>
        <v>-14.065940366972466</v>
      </c>
      <c r="I2" s="2">
        <f>-F2</f>
        <v>-472.22174999999999</v>
      </c>
      <c r="J2" s="2">
        <f>D2 * INDEX('00_Control'!$C:$C, MATCH("Hedge_Adjustment", '00_Control'!$B:$B, 0))</f>
        <v>367.96499999999997</v>
      </c>
      <c r="K2" s="13">
        <f>($J2 / INDEX('01_RawData'!$B:$K,MATCH("Average Interest-Earning Assets (AIEA)", '01_RawData'!$A:$A, 0),MATCH($A2, '01_RawData'!$B$1:$K$1, 0))) * 10000</f>
        <v>8.4395642201834846</v>
      </c>
      <c r="L2" s="2">
        <f>F2 * INDEX('00_Control'!$C:$C, MATCH("Hedge_Adjustment", '00_Control'!$B:$B, 0))</f>
        <v>283.33304999999996</v>
      </c>
    </row>
    <row r="3" spans="1:12" x14ac:dyDescent="0.2">
      <c r="A3" s="1">
        <v>2017</v>
      </c>
      <c r="B3" s="8">
        <f>INDEX('01_RawData'!$B:$K, MATCH("Reported Banking NIM", '01_RawData'!$A:$A, 0), MATCH($A3, '01_RawData'!$B$1:$K$1, 0))</f>
        <v>2.86E-2</v>
      </c>
      <c r="C3" s="2">
        <f>INDEX('01_RawData'!$B:$K, MATCH("Implied Banking NII", '01_RawData'!$A:$A, 0), MATCH($A3, '01_RawData'!$B$1:$K$1, 0))</f>
        <v>12441</v>
      </c>
      <c r="D3" s="2">
        <f>(INDEX('01_RawData'!$B:$K,MATCH("Loans - Average",'01_RawData'!$A:$A,0),MATCH($A3,'01_RawData'!$B$1:$K$1,0))*INDEX('00_Control'!$C:$C,MATCH("Loan_Beta",'00_Control'!$B:$B,0))*INDEX('00_Control'!$C:$C,MATCH("Loans_Repricing",'00_Control'!$B:$B,0))*0.01)-(INDEX('01_RawData'!$B:$K,MATCH("Customer Deposits - Average",'01_RawData'!$A:$A,0),MATCH($A3,'01_RawData'!$B$1:$K$1,0))*INDEX('00_Control'!$C:$C,MATCH("Deposit_Beta",'00_Control'!$B:$B,0))
*INDEX('00_Control'!$C:$C,MATCH("Deposits_Repricing",'00_Control'!$B:$B,0))*0.01)-(INDEX('01_RawData'!$B:$K,MATCH("Wholesale Funding - Average",'01_RawData'!$A:$A,0),MATCH($A3,'01_RawData'!$B$1:$K$1,0))*INDEX('00_Control'!$C:$C,MATCH("Wholesale_Funding_Beta",'00_Control'!$B:$B,0))
*INDEX('00_Control'!$C:$C,MATCH("Funding_Repricing",'00_Control'!$B:$B,0))
*0.01)</f>
        <v>685.82500000000005</v>
      </c>
      <c r="E3" s="12">
        <f>((($C3 + $D3) /INDEX('01_RawData'!$B:$K,MATCH("Average Interest-Earning Assets (AIEA)",'01_RawData'!$A:$A,0),MATCH($A3,'01_RawData'!$B$1:$K$1,0)))- $B3) * 10000</f>
        <v>15.766091954023016</v>
      </c>
      <c r="F3" s="2">
        <f>D3 * (1 - INDEX('00_Control'!$C:$C, MATCH("Tax Rate", '00_Control'!$B:$B, 0)))</f>
        <v>528.08525000000009</v>
      </c>
      <c r="G3" s="2">
        <f t="shared" ref="G3:G11" si="0">-D3</f>
        <v>-685.82500000000005</v>
      </c>
      <c r="H3" s="14">
        <f>((($C3 + $G3) /INDEX('01_RawData'!$B:$K,MATCH("Average Interest-Earning Assets (AIEA)",'01_RawData'!$A:$A,0),MATCH($A3,'01_RawData'!$B$1:$K$1,0)))- $B3) * 10000</f>
        <v>-15.766091954023016</v>
      </c>
      <c r="I3" s="2">
        <f t="shared" ref="I3:I11" si="1">-F3</f>
        <v>-528.08525000000009</v>
      </c>
      <c r="J3" s="2">
        <f>D3 * INDEX('00_Control'!$C:$C, MATCH("Hedge_Adjustment", '00_Control'!$B:$B, 0))</f>
        <v>411.495</v>
      </c>
      <c r="K3" s="13">
        <f>($J3 / INDEX('01_RawData'!$B:$K,MATCH("Average Interest-Earning Assets (AIEA)", '01_RawData'!$A:$A, 0),MATCH($A3, '01_RawData'!$B$1:$K$1, 0))) * 10000</f>
        <v>9.4596551724137932</v>
      </c>
      <c r="L3" s="2">
        <f>F3 * INDEX('00_Control'!$C:$C, MATCH("Hedge_Adjustment", '00_Control'!$B:$B, 0))</f>
        <v>316.85115000000002</v>
      </c>
    </row>
    <row r="4" spans="1:12" x14ac:dyDescent="0.2">
      <c r="A4" s="1">
        <v>2018</v>
      </c>
      <c r="B4" s="8">
        <f>INDEX('01_RawData'!$B:$K, MATCH("Reported Banking NIM", '01_RawData'!$A:$A, 0), MATCH($A4, '01_RawData'!$B$1:$K$1, 0))</f>
        <v>2.93E-2</v>
      </c>
      <c r="C4" s="2">
        <f>INDEX('01_RawData'!$B:$K, MATCH("Implied Banking NII", '01_RawData'!$A:$A, 0), MATCH($A4, '01_RawData'!$B$1:$K$1, 0))</f>
        <v>12774.8</v>
      </c>
      <c r="D4" s="2">
        <f>(INDEX('01_RawData'!$B:$K,MATCH("Loans - Average",'01_RawData'!$A:$A,0),MATCH($A4,'01_RawData'!$B$1:$K$1,0))*INDEX('00_Control'!$C:$C,MATCH("Loan_Beta",'00_Control'!$B:$B,0))*INDEX('00_Control'!$C:$C,MATCH("Loans_Repricing",'00_Control'!$B:$B,0))*0.01)-(INDEX('01_RawData'!$B:$K,MATCH("Customer Deposits - Average",'01_RawData'!$A:$A,0),MATCH($A4,'01_RawData'!$B$1:$K$1,0))*INDEX('00_Control'!$C:$C,MATCH("Deposit_Beta",'00_Control'!$B:$B,0))
*INDEX('00_Control'!$C:$C,MATCH("Deposits_Repricing",'00_Control'!$B:$B,0))*0.01)-(INDEX('01_RawData'!$B:$K,MATCH("Wholesale Funding - Average",'01_RawData'!$A:$A,0),MATCH($A4,'01_RawData'!$B$1:$K$1,0))*INDEX('00_Control'!$C:$C,MATCH("Wholesale_Funding_Beta",'00_Control'!$B:$B,0))
*INDEX('00_Control'!$C:$C,MATCH("Funding_Repricing",'00_Control'!$B:$B,0))
*0.01)</f>
        <v>625.6</v>
      </c>
      <c r="E4" s="12">
        <f>((($C4 + $D4) /INDEX('01_RawData'!$B:$K,MATCH("Average Interest-Earning Assets (AIEA)",'01_RawData'!$A:$A,0),MATCH($A4,'01_RawData'!$B$1:$K$1,0)))- $B4) * 10000</f>
        <v>14.348623853211</v>
      </c>
      <c r="F4" s="2">
        <f>D4 * (1 - INDEX('00_Control'!$C:$C, MATCH("Tax Rate", '00_Control'!$B:$B, 0)))</f>
        <v>481.71200000000005</v>
      </c>
      <c r="G4" s="2">
        <f t="shared" si="0"/>
        <v>-625.6</v>
      </c>
      <c r="H4" s="14">
        <f>((($C4 + $G4) /INDEX('01_RawData'!$B:$K,MATCH("Average Interest-Earning Assets (AIEA)",'01_RawData'!$A:$A,0),MATCH($A4,'01_RawData'!$B$1:$K$1,0)))- $B4) * 10000</f>
        <v>-14.348623853211034</v>
      </c>
      <c r="I4" s="2">
        <f t="shared" si="1"/>
        <v>-481.71200000000005</v>
      </c>
      <c r="J4" s="2">
        <f>D4 * INDEX('00_Control'!$C:$C, MATCH("Hedge_Adjustment", '00_Control'!$B:$B, 0))</f>
        <v>375.36</v>
      </c>
      <c r="K4" s="13">
        <f>($J4 / INDEX('01_RawData'!$B:$K,MATCH("Average Interest-Earning Assets (AIEA)", '01_RawData'!$A:$A, 0),MATCH($A4, '01_RawData'!$B$1:$K$1, 0))) * 10000</f>
        <v>8.6091743119266049</v>
      </c>
      <c r="L4" s="2">
        <f>F4 * INDEX('00_Control'!$C:$C, MATCH("Hedge_Adjustment", '00_Control'!$B:$B, 0))</f>
        <v>289.02719999999999</v>
      </c>
    </row>
    <row r="5" spans="1:12" x14ac:dyDescent="0.2">
      <c r="A5" s="1">
        <v>2019</v>
      </c>
      <c r="B5" s="8">
        <f>INDEX('01_RawData'!$B:$K, MATCH("Reported Banking NIM", '01_RawData'!$A:$A, 0), MATCH($A5, '01_RawData'!$B$1:$K$1, 0))</f>
        <v>2.8799999999999999E-2</v>
      </c>
      <c r="C5" s="2">
        <f>INDEX('01_RawData'!$B:$K, MATCH("Implied Banking NII", '01_RawData'!$A:$A, 0), MATCH($A5, '01_RawData'!$B$1:$K$1, 0))</f>
        <v>12528</v>
      </c>
      <c r="D5" s="2">
        <f>(INDEX('01_RawData'!$B:$K,MATCH("Loans - Average",'01_RawData'!$A:$A,0),MATCH($A5,'01_RawData'!$B$1:$K$1,0))*INDEX('00_Control'!$C:$C,MATCH("Loan_Beta",'00_Control'!$B:$B,0))*INDEX('00_Control'!$C:$C,MATCH("Loans_Repricing",'00_Control'!$B:$B,0))*0.01)-(INDEX('01_RawData'!$B:$K,MATCH("Customer Deposits - Average",'01_RawData'!$A:$A,0),MATCH($A5,'01_RawData'!$B$1:$K$1,0))*INDEX('00_Control'!$C:$C,MATCH("Deposit_Beta",'00_Control'!$B:$B,0))
*INDEX('00_Control'!$C:$C,MATCH("Deposits_Repricing",'00_Control'!$B:$B,0))*0.01)-(INDEX('01_RawData'!$B:$K,MATCH("Wholesale Funding - Average",'01_RawData'!$A:$A,0),MATCH($A5,'01_RawData'!$B$1:$K$1,0))*INDEX('00_Control'!$C:$C,MATCH("Wholesale_Funding_Beta",'00_Control'!$B:$B,0))
*INDEX('00_Control'!$C:$C,MATCH("Funding_Repricing",'00_Control'!$B:$B,0))
*0.01)</f>
        <v>507.89999999999986</v>
      </c>
      <c r="E5" s="12">
        <f>((($C5 + $D5) /INDEX('01_RawData'!$B:$K,MATCH("Average Interest-Earning Assets (AIEA)",'01_RawData'!$A:$A,0),MATCH($A5,'01_RawData'!$B$1:$K$1,0)))- $B5) * 10000</f>
        <v>11.675862068965502</v>
      </c>
      <c r="F5" s="2">
        <f>D5 * (1 - INDEX('00_Control'!$C:$C, MATCH("Tax Rate", '00_Control'!$B:$B, 0)))</f>
        <v>391.08299999999991</v>
      </c>
      <c r="G5" s="2">
        <f t="shared" si="0"/>
        <v>-507.89999999999986</v>
      </c>
      <c r="H5" s="14">
        <f>((($C5 + $G5) /INDEX('01_RawData'!$B:$K,MATCH("Average Interest-Earning Assets (AIEA)",'01_RawData'!$A:$A,0),MATCH($A5,'01_RawData'!$B$1:$K$1,0)))- $B5) * 10000</f>
        <v>-11.675862068965502</v>
      </c>
      <c r="I5" s="2">
        <f t="shared" si="1"/>
        <v>-391.08299999999991</v>
      </c>
      <c r="J5" s="2">
        <f>D5 * INDEX('00_Control'!$C:$C, MATCH("Hedge_Adjustment", '00_Control'!$B:$B, 0))</f>
        <v>304.7399999999999</v>
      </c>
      <c r="K5" s="13">
        <f>($J5 / INDEX('01_RawData'!$B:$K,MATCH("Average Interest-Earning Assets (AIEA)", '01_RawData'!$A:$A, 0),MATCH($A5, '01_RawData'!$B$1:$K$1, 0))) * 10000</f>
        <v>7.0055172413793079</v>
      </c>
      <c r="L5" s="2">
        <f>F5 * INDEX('00_Control'!$C:$C, MATCH("Hedge_Adjustment", '00_Control'!$B:$B, 0))</f>
        <v>234.64979999999994</v>
      </c>
    </row>
    <row r="6" spans="1:12" x14ac:dyDescent="0.2">
      <c r="A6" s="1">
        <v>2020</v>
      </c>
      <c r="B6" s="8">
        <f>INDEX('01_RawData'!$B:$K, MATCH("Reported Banking NIM", '01_RawData'!$A:$A, 0), MATCH($A6, '01_RawData'!$B$1:$K$1, 0))</f>
        <v>2.52E-2</v>
      </c>
      <c r="C6" s="2">
        <f>INDEX('01_RawData'!$B:$K, MATCH("Implied Banking NII", '01_RawData'!$A:$A, 0), MATCH($A6, '01_RawData'!$B$1:$K$1, 0))</f>
        <v>10962</v>
      </c>
      <c r="D6" s="2">
        <f>(INDEX('01_RawData'!$B:$K,MATCH("Loans - Average",'01_RawData'!$A:$A,0),MATCH($A6,'01_RawData'!$B$1:$K$1,0))*INDEX('00_Control'!$C:$C,MATCH("Loan_Beta",'00_Control'!$B:$B,0))*INDEX('00_Control'!$C:$C,MATCH("Loans_Repricing",'00_Control'!$B:$B,0))*0.01)-(INDEX('01_RawData'!$B:$K,MATCH("Customer Deposits - Average",'01_RawData'!$A:$A,0),MATCH($A6,'01_RawData'!$B$1:$K$1,0))*INDEX('00_Control'!$C:$C,MATCH("Deposit_Beta",'00_Control'!$B:$B,0))
*INDEX('00_Control'!$C:$C,MATCH("Deposits_Repricing",'00_Control'!$B:$B,0))*0.01)-(INDEX('01_RawData'!$B:$K,MATCH("Wholesale Funding - Average",'01_RawData'!$A:$A,0),MATCH($A6,'01_RawData'!$B$1:$K$1,0))*INDEX('00_Control'!$C:$C,MATCH("Wholesale_Funding_Beta",'00_Control'!$B:$B,0))
*INDEX('00_Control'!$C:$C,MATCH("Funding_Repricing",'00_Control'!$B:$B,0))
*0.01)</f>
        <v>516.63499999999999</v>
      </c>
      <c r="E6" s="12">
        <f>((($C6 + $D6) /INDEX('01_RawData'!$B:$K,MATCH("Average Interest-Earning Assets (AIEA)",'01_RawData'!$A:$A,0),MATCH($A6,'01_RawData'!$B$1:$K$1,0)))- $B6) * 10000</f>
        <v>11.876666666666667</v>
      </c>
      <c r="F6" s="2">
        <f>D6 * (1 - INDEX('00_Control'!$C:$C, MATCH("Tax Rate", '00_Control'!$B:$B, 0)))</f>
        <v>397.80894999999998</v>
      </c>
      <c r="G6" s="2">
        <f t="shared" si="0"/>
        <v>-516.63499999999999</v>
      </c>
      <c r="H6" s="14">
        <f>((($C6 + $G6) /INDEX('01_RawData'!$B:$K,MATCH("Average Interest-Earning Assets (AIEA)",'01_RawData'!$A:$A,0),MATCH($A6,'01_RawData'!$B$1:$K$1,0)))- $B6) * 10000</f>
        <v>-11.876666666666667</v>
      </c>
      <c r="I6" s="2">
        <f t="shared" si="1"/>
        <v>-397.80894999999998</v>
      </c>
      <c r="J6" s="2">
        <f>D6 * INDEX('00_Control'!$C:$C, MATCH("Hedge_Adjustment", '00_Control'!$B:$B, 0))</f>
        <v>309.98099999999999</v>
      </c>
      <c r="K6" s="13">
        <f>($J6 / INDEX('01_RawData'!$B:$K,MATCH("Average Interest-Earning Assets (AIEA)", '01_RawData'!$A:$A, 0),MATCH($A6, '01_RawData'!$B$1:$K$1, 0))) * 10000</f>
        <v>7.1259999999999994</v>
      </c>
      <c r="L6" s="2">
        <f>F6 * INDEX('00_Control'!$C:$C, MATCH("Hedge_Adjustment", '00_Control'!$B:$B, 0))</f>
        <v>238.68536999999998</v>
      </c>
    </row>
    <row r="7" spans="1:12" x14ac:dyDescent="0.2">
      <c r="A7" s="1">
        <v>2021</v>
      </c>
      <c r="B7" s="8">
        <f>INDEX('01_RawData'!$B:$K, MATCH("Reported Banking NIM", '01_RawData'!$A:$A, 0), MATCH($A7, '01_RawData'!$B$1:$K$1, 0))</f>
        <v>2.5399999999999999E-2</v>
      </c>
      <c r="C7" s="2">
        <f>INDEX('01_RawData'!$B:$K, MATCH("Implied Banking NII", '01_RawData'!$A:$A, 0), MATCH($A7, '01_RawData'!$B$1:$K$1, 0))</f>
        <v>11303</v>
      </c>
      <c r="D7" s="2">
        <f>(INDEX('01_RawData'!$B:$K,MATCH("Loans - Average",'01_RawData'!$A:$A,0),MATCH($A7,'01_RawData'!$B$1:$K$1,0))*INDEX('00_Control'!$C:$C,MATCH("Loan_Beta",'00_Control'!$B:$B,0))*INDEX('00_Control'!$C:$C,MATCH("Loans_Repricing",'00_Control'!$B:$B,0))*0.01)-(INDEX('01_RawData'!$B:$K,MATCH("Customer Deposits - Average",'01_RawData'!$A:$A,0),MATCH($A7,'01_RawData'!$B$1:$K$1,0))*INDEX('00_Control'!$C:$C,MATCH("Deposit_Beta",'00_Control'!$B:$B,0))
*INDEX('00_Control'!$C:$C,MATCH("Deposits_Repricing",'00_Control'!$B:$B,0))*0.01)-(INDEX('01_RawData'!$B:$K,MATCH("Wholesale Funding - Average",'01_RawData'!$A:$A,0),MATCH($A7,'01_RawData'!$B$1:$K$1,0))*INDEX('00_Control'!$C:$C,MATCH("Wholesale_Funding_Beta",'00_Control'!$B:$B,0))
*INDEX('00_Control'!$C:$C,MATCH("Funding_Repricing",'00_Control'!$B:$B,0))
*0.01)</f>
        <v>599.59499999999991</v>
      </c>
      <c r="E7" s="12">
        <f>((($C7 + $D7) /INDEX('01_RawData'!$B:$K,MATCH("Average Interest-Earning Assets (AIEA)",'01_RawData'!$A:$A,0),MATCH($A7,'01_RawData'!$B$1:$K$1,0)))- $B7) * 10000</f>
        <v>13.474044943820214</v>
      </c>
      <c r="F7" s="2">
        <f>D7 * (1 - INDEX('00_Control'!$C:$C, MATCH("Tax Rate", '00_Control'!$B:$B, 0)))</f>
        <v>461.68814999999995</v>
      </c>
      <c r="G7" s="2">
        <f t="shared" si="0"/>
        <v>-599.59499999999991</v>
      </c>
      <c r="H7" s="14">
        <f>((($C7 + $G7) /INDEX('01_RawData'!$B:$K,MATCH("Average Interest-Earning Assets (AIEA)",'01_RawData'!$A:$A,0),MATCH($A7,'01_RawData'!$B$1:$K$1,0)))- $B7) * 10000</f>
        <v>-13.474044943820214</v>
      </c>
      <c r="I7" s="2">
        <f t="shared" si="1"/>
        <v>-461.68814999999995</v>
      </c>
      <c r="J7" s="2">
        <f>D7 * INDEX('00_Control'!$C:$C, MATCH("Hedge_Adjustment", '00_Control'!$B:$B, 0))</f>
        <v>359.75699999999995</v>
      </c>
      <c r="K7" s="13">
        <f>($J7 / INDEX('01_RawData'!$B:$K,MATCH("Average Interest-Earning Assets (AIEA)", '01_RawData'!$A:$A, 0),MATCH($A7, '01_RawData'!$B$1:$K$1, 0))) * 10000</f>
        <v>8.0844269662921331</v>
      </c>
      <c r="L7" s="2">
        <f>F7 * INDEX('00_Control'!$C:$C, MATCH("Hedge_Adjustment", '00_Control'!$B:$B, 0))</f>
        <v>277.01288999999997</v>
      </c>
    </row>
    <row r="8" spans="1:12" x14ac:dyDescent="0.2">
      <c r="A8" s="1">
        <v>2022</v>
      </c>
      <c r="B8" s="8">
        <f>INDEX('01_RawData'!$B:$K, MATCH("Reported Banking NIM", '01_RawData'!$A:$A, 0), MATCH($A8, '01_RawData'!$B$1:$K$1, 0))</f>
        <v>2.9399999999999999E-2</v>
      </c>
      <c r="C8" s="2">
        <f>INDEX('01_RawData'!$B:$K, MATCH("Implied Banking NII", '01_RawData'!$A:$A, 0), MATCH($A8, '01_RawData'!$B$1:$K$1, 0))</f>
        <v>13288.8</v>
      </c>
      <c r="D8" s="2">
        <f>(INDEX('01_RawData'!$B:$K,MATCH("Loans - Average",'01_RawData'!$A:$A,0),MATCH($A8,'01_RawData'!$B$1:$K$1,0))*INDEX('00_Control'!$C:$C,MATCH("Loan_Beta",'00_Control'!$B:$B,0))*INDEX('00_Control'!$C:$C,MATCH("Loans_Repricing",'00_Control'!$B:$B,0))*0.01)-(INDEX('01_RawData'!$B:$K,MATCH("Customer Deposits - Average",'01_RawData'!$A:$A,0),MATCH($A8,'01_RawData'!$B$1:$K$1,0))*INDEX('00_Control'!$C:$C,MATCH("Deposit_Beta",'00_Control'!$B:$B,0))
*INDEX('00_Control'!$C:$C,MATCH("Deposits_Repricing",'00_Control'!$B:$B,0))*0.01)-(INDEX('01_RawData'!$B:$K,MATCH("Wholesale Funding - Average",'01_RawData'!$A:$A,0),MATCH($A8,'01_RawData'!$B$1:$K$1,0))*INDEX('00_Control'!$C:$C,MATCH("Wholesale_Funding_Beta",'00_Control'!$B:$B,0))
*INDEX('00_Control'!$C:$C,MATCH("Funding_Repricing",'00_Control'!$B:$B,0))
*0.01)</f>
        <v>646.85250000000008</v>
      </c>
      <c r="E8" s="12">
        <f>((($C8 + $D8) /INDEX('01_RawData'!$B:$K,MATCH("Average Interest-Earning Assets (AIEA)",'01_RawData'!$A:$A,0),MATCH($A8,'01_RawData'!$B$1:$K$1,0)))- $B8) * 10000</f>
        <v>14.310896017699116</v>
      </c>
      <c r="F8" s="2">
        <f>D8 * (1 - INDEX('00_Control'!$C:$C, MATCH("Tax Rate", '00_Control'!$B:$B, 0)))</f>
        <v>498.07642500000009</v>
      </c>
      <c r="G8" s="2">
        <f t="shared" si="0"/>
        <v>-646.85250000000008</v>
      </c>
      <c r="H8" s="14">
        <f>((($C8 + $G8) /INDEX('01_RawData'!$B:$K,MATCH("Average Interest-Earning Assets (AIEA)",'01_RawData'!$A:$A,0),MATCH($A8,'01_RawData'!$B$1:$K$1,0)))- $B8) * 10000</f>
        <v>-14.310896017699152</v>
      </c>
      <c r="I8" s="2">
        <f t="shared" si="1"/>
        <v>-498.07642500000009</v>
      </c>
      <c r="J8" s="2">
        <f>D8 * INDEX('00_Control'!$C:$C, MATCH("Hedge_Adjustment", '00_Control'!$B:$B, 0))</f>
        <v>388.11150000000004</v>
      </c>
      <c r="K8" s="13">
        <f>($J8 / INDEX('01_RawData'!$B:$K,MATCH("Average Interest-Earning Assets (AIEA)", '01_RawData'!$A:$A, 0),MATCH($A8, '01_RawData'!$B$1:$K$1, 0))) * 10000</f>
        <v>8.5865376106194695</v>
      </c>
      <c r="L8" s="2">
        <f>F8 * INDEX('00_Control'!$C:$C, MATCH("Hedge_Adjustment", '00_Control'!$B:$B, 0))</f>
        <v>298.84585500000003</v>
      </c>
    </row>
    <row r="9" spans="1:12" x14ac:dyDescent="0.2">
      <c r="A9" s="1">
        <v>2023</v>
      </c>
      <c r="B9" s="8">
        <f>INDEX('01_RawData'!$B:$K, MATCH("Reported Banking NIM", '01_RawData'!$A:$A, 0), MATCH($A9, '01_RawData'!$B$1:$K$1, 0))</f>
        <v>3.1099999999999999E-2</v>
      </c>
      <c r="C9" s="2">
        <f>INDEX('01_RawData'!$B:$K, MATCH("Implied Banking NII", '01_RawData'!$A:$A, 0), MATCH($A9, '01_RawData'!$B$1:$K$1, 0))</f>
        <v>14097.63</v>
      </c>
      <c r="D9" s="2">
        <f>(INDEX('01_RawData'!$B:$K,MATCH("Loans - Average",'01_RawData'!$A:$A,0),MATCH($A9,'01_RawData'!$B$1:$K$1,0))*INDEX('00_Control'!$C:$C,MATCH("Loan_Beta",'00_Control'!$B:$B,0))*INDEX('00_Control'!$C:$C,MATCH("Loans_Repricing",'00_Control'!$B:$B,0))*0.01)-(INDEX('01_RawData'!$B:$K,MATCH("Customer Deposits - Average",'01_RawData'!$A:$A,0),MATCH($A9,'01_RawData'!$B$1:$K$1,0))*INDEX('00_Control'!$C:$C,MATCH("Deposit_Beta",'00_Control'!$B:$B,0))
*INDEX('00_Control'!$C:$C,MATCH("Deposits_Repricing",'00_Control'!$B:$B,0))*0.01)-(INDEX('01_RawData'!$B:$K,MATCH("Wholesale Funding - Average",'01_RawData'!$A:$A,0),MATCH($A9,'01_RawData'!$B$1:$K$1,0))*INDEX('00_Control'!$C:$C,MATCH("Wholesale_Funding_Beta",'00_Control'!$B:$B,0))
*INDEX('00_Control'!$C:$C,MATCH("Funding_Repricing",'00_Control'!$B:$B,0))
*0.01)</f>
        <v>626.2774999999998</v>
      </c>
      <c r="E9" s="12">
        <f>((($C9 + $D9) /INDEX('01_RawData'!$B:$K,MATCH("Average Interest-Earning Assets (AIEA)",'01_RawData'!$A:$A,0),MATCH($A9,'01_RawData'!$B$1:$K$1,0)))- $B9) * 10000</f>
        <v>13.815960732406797</v>
      </c>
      <c r="F9" s="2">
        <f>D9 * (1 - INDEX('00_Control'!$C:$C, MATCH("Tax Rate", '00_Control'!$B:$B, 0)))</f>
        <v>482.23367499999983</v>
      </c>
      <c r="G9" s="2">
        <f t="shared" si="0"/>
        <v>-626.2774999999998</v>
      </c>
      <c r="H9" s="14">
        <f>((($C9 + $G9) /INDEX('01_RawData'!$B:$K,MATCH("Average Interest-Earning Assets (AIEA)",'01_RawData'!$A:$A,0),MATCH($A9,'01_RawData'!$B$1:$K$1,0)))- $B9) * 10000</f>
        <v>-13.815960732406797</v>
      </c>
      <c r="I9" s="2">
        <f t="shared" si="1"/>
        <v>-482.23367499999983</v>
      </c>
      <c r="J9" s="2">
        <f>D9 * INDEX('00_Control'!$C:$C, MATCH("Hedge_Adjustment", '00_Control'!$B:$B, 0))</f>
        <v>375.76649999999989</v>
      </c>
      <c r="K9" s="13">
        <f>($J9 / INDEX('01_RawData'!$B:$K,MATCH("Average Interest-Earning Assets (AIEA)", '01_RawData'!$A:$A, 0),MATCH($A9, '01_RawData'!$B$1:$K$1, 0))) * 10000</f>
        <v>8.2895764394440743</v>
      </c>
      <c r="L9" s="2">
        <f>F9 * INDEX('00_Control'!$C:$C, MATCH("Hedge_Adjustment", '00_Control'!$B:$B, 0))</f>
        <v>289.34020499999991</v>
      </c>
    </row>
    <row r="10" spans="1:12" x14ac:dyDescent="0.2">
      <c r="A10" s="1">
        <v>2024</v>
      </c>
      <c r="B10" s="8">
        <f>INDEX('01_RawData'!$B:$K, MATCH("Reported Banking NIM", '01_RawData'!$A:$A, 0), MATCH($A10, '01_RawData'!$B$1:$K$1, 0))</f>
        <v>2.9499999999999998E-2</v>
      </c>
      <c r="C10" s="2">
        <f>INDEX('01_RawData'!$B:$K, MATCH("Implied Banking NII", '01_RawData'!$A:$A, 0), MATCH($A10, '01_RawData'!$B$1:$K$1, 0))</f>
        <v>13310.4</v>
      </c>
      <c r="D10" s="2">
        <f>(INDEX('01_RawData'!$B:$K,MATCH("Loans - Average",'01_RawData'!$A:$A,0),MATCH($A10,'01_RawData'!$B$1:$K$1,0))*INDEX('00_Control'!$C:$C,MATCH("Loan_Beta",'00_Control'!$B:$B,0))*INDEX('00_Control'!$C:$C,MATCH("Loans_Repricing",'00_Control'!$B:$B,0))*0.01)-(INDEX('01_RawData'!$B:$K,MATCH("Customer Deposits - Average",'01_RawData'!$A:$A,0),MATCH($A10,'01_RawData'!$B$1:$K$1,0))*INDEX('00_Control'!$C:$C,MATCH("Deposit_Beta",'00_Control'!$B:$B,0))
*INDEX('00_Control'!$C:$C,MATCH("Deposits_Repricing",'00_Control'!$B:$B,0))*0.01)-(INDEX('01_RawData'!$B:$K,MATCH("Wholesale Funding - Average",'01_RawData'!$A:$A,0),MATCH($A10,'01_RawData'!$B$1:$K$1,0))*INDEX('00_Control'!$C:$C,MATCH("Wholesale_Funding_Beta",'00_Control'!$B:$B,0))
*INDEX('00_Control'!$C:$C,MATCH("Funding_Repricing",'00_Control'!$B:$B,0))
*0.01)</f>
        <v>657.96249999999975</v>
      </c>
      <c r="E10" s="12">
        <f>((($C10 + $D10) /INDEX('01_RawData'!$B:$K,MATCH("Average Interest-Earning Assets (AIEA)",'01_RawData'!$A:$A,0),MATCH($A10,'01_RawData'!$B$1:$K$1,0)))- $B10) * 10000</f>
        <v>14.582502216312042</v>
      </c>
      <c r="F10" s="2">
        <f>D10 * (1 - INDEX('00_Control'!$C:$C, MATCH("Tax Rate", '00_Control'!$B:$B, 0)))</f>
        <v>506.63112499999983</v>
      </c>
      <c r="G10" s="2">
        <f t="shared" si="0"/>
        <v>-657.96249999999975</v>
      </c>
      <c r="H10" s="14">
        <f>((($C10 + $G10) /INDEX('01_RawData'!$B:$K,MATCH("Average Interest-Earning Assets (AIEA)",'01_RawData'!$A:$A,0),MATCH($A10,'01_RawData'!$B$1:$K$1,0)))- $B10) * 10000</f>
        <v>-14.582502216312042</v>
      </c>
      <c r="I10" s="2">
        <f t="shared" si="1"/>
        <v>-506.63112499999983</v>
      </c>
      <c r="J10" s="2">
        <f>D10 * INDEX('00_Control'!$C:$C, MATCH("Hedge_Adjustment", '00_Control'!$B:$B, 0))</f>
        <v>394.77749999999986</v>
      </c>
      <c r="K10" s="13">
        <f>($J10 / INDEX('01_RawData'!$B:$K,MATCH("Average Interest-Earning Assets (AIEA)", '01_RawData'!$A:$A, 0),MATCH($A10, '01_RawData'!$B$1:$K$1, 0))) * 10000</f>
        <v>8.7495013297872308</v>
      </c>
      <c r="L10" s="2">
        <f>F10 * INDEX('00_Control'!$C:$C, MATCH("Hedge_Adjustment", '00_Control'!$B:$B, 0))</f>
        <v>303.9786749999999</v>
      </c>
    </row>
    <row r="11" spans="1:12" x14ac:dyDescent="0.2">
      <c r="A11" s="1">
        <v>2025</v>
      </c>
      <c r="B11" s="8">
        <f>INDEX('01_RawData'!$B:$K, MATCH("Reported Banking NIM", '01_RawData'!$A:$A, 0), MATCH($A11, '01_RawData'!$B$1:$K$1, 0))</f>
        <v>3.0599999999999999E-2</v>
      </c>
      <c r="C11" s="2">
        <f>INDEX('01_RawData'!$B:$K, MATCH("Implied Banking NII", '01_RawData'!$A:$A, 0), MATCH($A11, '01_RawData'!$B$1:$K$1, 0))</f>
        <v>14164.74</v>
      </c>
      <c r="D11" s="2">
        <f>(INDEX('01_RawData'!$B:$K,MATCH("Loans - Average",'01_RawData'!$A:$A,0),MATCH($A11,'01_RawData'!$B$1:$K$1,0))*INDEX('00_Control'!$C:$C,MATCH("Loan_Beta",'00_Control'!$B:$B,0))*INDEX('00_Control'!$C:$C,MATCH("Loans_Repricing",'00_Control'!$B:$B,0))*0.01)-(INDEX('01_RawData'!$B:$K,MATCH("Customer Deposits - Average",'01_RawData'!$A:$A,0),MATCH($A11,'01_RawData'!$B$1:$K$1,0))*INDEX('00_Control'!$C:$C,MATCH("Deposit_Beta",'00_Control'!$B:$B,0))
*INDEX('00_Control'!$C:$C,MATCH("Deposits_Repricing",'00_Control'!$B:$B,0))*0.01)-(INDEX('01_RawData'!$B:$K,MATCH("Wholesale Funding - Average",'01_RawData'!$A:$A,0),MATCH($A11,'01_RawData'!$B$1:$K$1,0))*INDEX('00_Control'!$C:$C,MATCH("Wholesale_Funding_Beta",'00_Control'!$B:$B,0))
*INDEX('00_Control'!$C:$C,MATCH("Funding_Repricing",'00_Control'!$B:$B,0))
*0.01)</f>
        <v>708.6</v>
      </c>
      <c r="E11" s="12">
        <f>((($C11 + $D11) /INDEX('01_RawData'!$B:$K,MATCH("Average Interest-Earning Assets (AIEA)",'01_RawData'!$A:$A,0),MATCH($A11,'01_RawData'!$B$1:$K$1,0)))- $B11) * 10000</f>
        <v>15.307841866493872</v>
      </c>
      <c r="F11" s="2">
        <f>D11 * (1 - INDEX('00_Control'!$C:$C, MATCH("Tax Rate", '00_Control'!$B:$B, 0)))</f>
        <v>545.62200000000007</v>
      </c>
      <c r="G11" s="2">
        <f t="shared" si="0"/>
        <v>-708.6</v>
      </c>
      <c r="H11" s="14">
        <f>((($C11 + $G11) /INDEX('01_RawData'!$B:$K,MATCH("Average Interest-Earning Assets (AIEA)",'01_RawData'!$A:$A,0),MATCH($A11,'01_RawData'!$B$1:$K$1,0)))- $B11) * 10000</f>
        <v>-15.307841866493838</v>
      </c>
      <c r="I11" s="2">
        <f t="shared" si="1"/>
        <v>-545.62200000000007</v>
      </c>
      <c r="J11" s="2">
        <f>D11 * INDEX('00_Control'!$C:$C, MATCH("Hedge_Adjustment", '00_Control'!$B:$B, 0))</f>
        <v>425.16</v>
      </c>
      <c r="K11" s="13">
        <f>($J11 / INDEX('01_RawData'!$B:$K,MATCH("Average Interest-Earning Assets (AIEA)", '01_RawData'!$A:$A, 0),MATCH($A11, '01_RawData'!$B$1:$K$1, 0))) * 10000</f>
        <v>9.1847051198963054</v>
      </c>
      <c r="L11" s="2">
        <f>F11 * INDEX('00_Control'!$C:$C, MATCH("Hedge_Adjustment", '00_Control'!$B:$B, 0))</f>
        <v>327.37320000000005</v>
      </c>
    </row>
    <row r="12" spans="1:12" x14ac:dyDescent="0.2">
      <c r="J12" s="2"/>
    </row>
  </sheetData>
  <pageMargins left="0.7" right="0.7" top="0.75" bottom="0.75" header="0.3" footer="0.3"/>
  <ignoredErrors>
    <ignoredError sqref="H2:H11 K2:K11" formula="1"/>
  </ignoredErrors>
  <drawing r:id="rId1"/>
</worksheet>
</file>

<file path=docMetadata/LabelInfo.xml><?xml version="1.0" encoding="utf-8"?>
<clbl:labelList xmlns:clbl="http://schemas.microsoft.com/office/2020/mipLabelMetadata">
  <clbl:label id="{06530cf4-8573-4c29-a912-bbcdac835909}" enabled="1" method="Standard" siteId="{ecaa386b-c8df-4ce0-ad01-740cbdb5ba5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Introduction</vt:lpstr>
      <vt:lpstr>00_Control</vt:lpstr>
      <vt:lpstr>01_RawData</vt:lpstr>
      <vt:lpstr>02_Scenarios</vt:lpstr>
      <vt:lpstr>03_Summary</vt:lpstr>
    </vt:vector>
  </TitlesOfParts>
  <Company>BASF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berk-guenay.tansuker@basf.com</dc:creator>
  <cp:lastModifiedBy>berk-guenay.tansuker@basf.com</cp:lastModifiedBy>
  <dcterms:created xsi:type="dcterms:W3CDTF">2026-05-11T20:27:48Z</dcterms:created>
  <dcterms:modified xsi:type="dcterms:W3CDTF">2026-05-13T15:37:05Z</dcterms:modified>
</cp:coreProperties>
</file>